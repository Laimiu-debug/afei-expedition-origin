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542bcf627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2a406219dac4947"/>
    <x:sheet xmlns:r="http://schemas.openxmlformats.org/officeDocument/2006/relationships" name="招募节奏" sheetId="2" r:id="Rd12a891499784e6a"/>
    <x:sheet xmlns:r="http://schemas.openxmlformats.org/officeDocument/2006/relationships" name="属性成长" sheetId="3" r:id="Rd86a226fc1a84725"/>
    <x:sheet xmlns:r="http://schemas.openxmlformats.org/officeDocument/2006/relationships" name="成长总览" sheetId="4" r:id="R4e6aefbea6cf4c1b"/>
    <x:sheet xmlns:r="http://schemas.openxmlformats.org/officeDocument/2006/relationships" name="装备明细" sheetId="5" r:id="R80b6df7542ab45d4"/>
    <x:sheet xmlns:r="http://schemas.openxmlformats.org/officeDocument/2006/relationships" name="技能选择" sheetId="6" r:id="R946978db54324f73"/>
    <x:sheet xmlns:r="http://schemas.openxmlformats.org/officeDocument/2006/relationships" name="队长与事件" sheetId="7" r:id="Rbd7b8ef2db934ebd"/>
    <x:sheet xmlns:r="http://schemas.openxmlformats.org/officeDocument/2006/relationships" name="经济模型" sheetId="8" r:id="R93ad40344aea4549"/>
    <x:sheet xmlns:r="http://schemas.openxmlformats.org/officeDocument/2006/relationships" name="伤害与概率" sheetId="9" r:id="R4cf45018e55048c3"/>
    <x:sheet xmlns:r="http://schemas.openxmlformats.org/officeDocument/2006/relationships" name="现行对照" sheetId="10" r:id="R4e77632562bb4860"/>
    <x:sheet xmlns:r="http://schemas.openxmlformats.org/officeDocument/2006/relationships" name="来源说明" sheetId="11" r:id="R9d295e2eb978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#,##0.00"/>
    <x:numFmt numFmtId="203" formatCode="0.00"/>
    <x:numFmt numFmtId="204" formatCode="0.0%"/>
  </x:numFmts>
  <x:fonts count="5">
    <x:font>
      <x:sz val="11"/>
      <x:name val="Carlito"/>
    </x:font>
    <x:font>
      <x:sz val="10"/>
      <x:color rgb="FF19364B"/>
      <x:name val="Arial"/>
    </x:font>
    <x:font>
      <x:b/>
      <x:sz val="19"/>
      <x:color rgb="FF19364B"/>
      <x:name val="Arial"/>
    </x:font>
    <x:font>
      <x:sz val="10"/>
      <x:color rgb="FF607483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EFF4F7"/>
      </x:patternFill>
    </x:fill>
    <x:fill>
      <x:patternFill patternType="solid">
        <x:fgColor rgb="FFFFF0CD"/>
      </x:patternFill>
    </x:fill>
    <x:fill>
      <x:patternFill patternType="solid">
        <x:fgColor rgb="FFE3F3EE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3" fontId="1" fillId="5" borderId="0" xfId="0" applyNumberFormat="1" applyFont="1" applyFill="1" applyBorder="1" applyAlignment="1">
      <x:alignment horizontal="right" vertical="center" wrapText="1"/>
    </x:xf>
    <x:xf numFmtId="204" fontId="1" fillId="4" borderId="0" xfId="0" applyNumberFormat="1" applyFont="1" applyFill="1" applyBorder="1" applyAlignment="1">
      <x:alignment horizontal="right" vertical="center" wrapText="1"/>
    </x:xf>
    <x:xf numFmtId="204" fontId="1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ill>
        <x:patternFill patternType="solid">
          <x:bgColor rgb="FFFFCFCF"/>
        </x:patternFill>
      </x:fill>
    </x:dxf>
    <x:dxf>
      <x:fill>
        <x:patternFill patternType="solid">
          <x:bgColor rgb="FFFFCF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2008182e7475d" /><Relationship Type="http://schemas.openxmlformats.org/officeDocument/2006/relationships/theme" Target="/xl/theme/theme1.xml" Id="Rbc4bc8d611914745" /><Relationship Type="http://schemas.openxmlformats.org/officeDocument/2006/relationships/sharedStrings" Target="/xl/sharedStrings.xml" Id="R3e6543eac0eb461b" /><Relationship Type="http://schemas.openxmlformats.org/officeDocument/2006/relationships/worksheet" Target="/xl/worksheets/sheet1.xml" Id="R42a406219dac4947" /><Relationship Type="http://schemas.openxmlformats.org/officeDocument/2006/relationships/worksheet" Target="/xl/worksheets/sheet2.xml" Id="Rd12a891499784e6a" /><Relationship Type="http://schemas.openxmlformats.org/officeDocument/2006/relationships/worksheet" Target="/xl/worksheets/sheet3.xml" Id="Rd86a226fc1a84725" /><Relationship Type="http://schemas.openxmlformats.org/officeDocument/2006/relationships/worksheet" Target="/xl/worksheets/sheet4.xml" Id="R4e6aefbea6cf4c1b" /><Relationship Type="http://schemas.openxmlformats.org/officeDocument/2006/relationships/worksheet" Target="/xl/worksheets/sheet5.xml" Id="R80b6df7542ab45d4" /><Relationship Type="http://schemas.openxmlformats.org/officeDocument/2006/relationships/worksheet" Target="/xl/worksheets/sheet6.xml" Id="R946978db54324f73" /><Relationship Type="http://schemas.openxmlformats.org/officeDocument/2006/relationships/worksheet" Target="/xl/worksheets/sheet7.xml" Id="Rbd7b8ef2db934ebd" /><Relationship Type="http://schemas.openxmlformats.org/officeDocument/2006/relationships/worksheet" Target="/xl/worksheets/sheet8.xml" Id="R93ad40344aea4549" /><Relationship Type="http://schemas.openxmlformats.org/officeDocument/2006/relationships/worksheet" Target="/xl/worksheets/sheet9.xml" Id="R4cf45018e55048c3" /><Relationship Type="http://schemas.openxmlformats.org/officeDocument/2006/relationships/worksheet" Target="/xl/worksheets/sheet10.xml" Id="R4e77632562bb4860" /><Relationship Type="http://schemas.openxmlformats.org/officeDocument/2006/relationships/worksheet" Target="/xl/worksheets/sheet11.xml" Id="R9d295e2eb97844c9" /></Relationships>
</file>

<file path=xl/tables/table1.xml><?xml version="1.0" encoding="utf-8"?>
<x:table xmlns:x="http://schemas.openxmlformats.org/spreadsheetml/2006/main" id="11" name="T0" displayName="T0" ref="A5:C18" headerRowCount="1" totalsRowCount="0" totalsRowShown="0">
  <x:tableColumns count="3">
    <x:tableColumn id="1" name="主题"/>
    <x:tableColumn id="2" name="结果/入口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1" displayName="T1" ref="A5:Q39" headerRowCount="1" totalsRowCount="0" totalsRowShown="0">
  <x:tableColumns count="17">
    <x:tableColumn id="1" name="人物"/>
    <x:tableColumn id="2" name="ID"/>
    <x:tableColumn id="3" name="分组"/>
    <x:tableColumn id="4" name="定位"/>
    <x:tableColumn id="5" name="最低日"/>
    <x:tableColumn id="6" name="参战≥"/>
    <x:tableColumn id="7" name="履约≥"/>
    <x:tableColumn id="8" name="城镇≥"/>
    <x:tableColumn id="9" name="资格等级≥"/>
    <x:tableColumn id="10" name="阶段等级上限"/>
    <x:tableColumn id="11" name="候选生成时历史最高等级"/>
    <x:tableColumn id="12" name="实际入队级"/>
    <x:tableColumn id="13" name="服务费"/>
    <x:tableColumn id="14" name="一级日薪"/>
    <x:tableColumn id="15" name="装备原价"/>
    <x:tableColumn id="16" name="基准总价"/>
    <x:tableColumn id="17" name="是否队长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2" displayName="T2" ref="A5:M277" headerRowCount="1" totalsRowCount="0" totalsRowShown="0">
  <x:tableColumns count="13">
    <x:tableColumn id="1" name="人物"/>
    <x:tableColumn id="2" name="ID"/>
    <x:tableColumn id="3" name="属性"/>
    <x:tableColumn id="4" name="一级基础"/>
    <x:tableColumn id="5" name="星数0～3"/>
    <x:tableColumn id="6" name="升级选取0～10"/>
    <x:tableColumn id="7" name="剧情分支1"/>
    <x:tableColumn id="8" name="剧情分支2"/>
    <x:tableColumn id="9" name="选择1或2"/>
    <x:tableColumn id="10" name="所选剧情值"/>
    <x:tableColumn id="11" name="0星每次均值"/>
    <x:tableColumn id="12" name="本星每次均值"/>
    <x:tableColumn id="13" name="11级属性均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3" displayName="T3" ref="A5:N39" headerRowCount="1" totalsRowCount="0" totalsRowShown="0">
  <x:tableColumns count="14">
    <x:tableColumn id="1" name="人物"/>
    <x:tableColumn id="2" name="角色"/>
    <x:tableColumn id="3" name="生命"/>
    <x:tableColumn id="4" name="疲劳上限"/>
    <x:tableColumn id="5" name="决心"/>
    <x:tableColumn id="6" name="先攻"/>
    <x:tableColumn id="7" name="近攻"/>
    <x:tableColumn id="8" name="远攻"/>
    <x:tableColumn id="9" name="近防"/>
    <x:tableColumn id="10" name="远防"/>
    <x:tableColumn id="11" name="分配合计"/>
    <x:tableColumn id="12" name="分支一致"/>
    <x:tableColumn id="13" name="日薪11级"/>
    <x:tableColumn id="14" name="培养提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4" displayName="T4" ref="A5:K39" headerRowCount="1" totalsRowCount="0" totalsRowShown="0">
  <x:tableColumns count="11">
    <x:tableColumn id="1" name="人物"/>
    <x:tableColumn id="2" name="ID"/>
    <x:tableColumn id="3" name="装备栏"/>
    <x:tableColumn id="4" name="包内"/>
    <x:tableColumn id="5" name="身甲"/>
    <x:tableColumn id="6" name="头甲"/>
    <x:tableColumn id="7" name="装备疲劳"/>
    <x:tableColumn id="8" name="包内疲劳"/>
    <x:tableColumn id="9" name="一级可用疲劳"/>
    <x:tableColumn id="10" name="装备原价"/>
    <x:tableColumn id="11" name="终局换装方向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5" displayName="T5" ref="A5:M104" headerRowCount="1" totalsRowCount="0" totalsRowShown="0">
  <x:tableColumns count="13">
    <x:tableColumn id="1" name="人物"/>
    <x:tableColumn id="2" name="技能"/>
    <x:tableColumn id="3" name="主动1被动0"/>
    <x:tableColumn id="4" name="AP"/>
    <x:tableColumn id="5" name="疲劳"/>
    <x:tableColumn id="6" name="CD"/>
    <x:tableColumn id="7" name="距离"/>
    <x:tableColumn id="8" name="11级疲劳"/>
    <x:tableColumn id="9" name="新效果完整定义"/>
    <x:tableColumn id="10" name="11级其他变化"/>
    <x:tableColumn id="11" name="变更"/>
    <x:tableColumn id="12" name="当前原文"/>
    <x:tableColumn id="13" name="技能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6" displayName="T6" ref="A5:H12" headerRowCount="1" totalsRowCount="0" totalsRowShown="0">
  <x:tableColumns count="8">
    <x:tableColumn id="1" name="项目"/>
    <x:tableColumn id="2" name="常驻/限制"/>
    <x:tableColumn id="3" name="AP"/>
    <x:tableColumn id="4" name="疲劳"/>
    <x:tableColumn id="5" name="CD"/>
    <x:tableColumn id="6" name="效果"/>
    <x:tableColumn id="7" name="经济/现行对照"/>
    <x:tableColumn id="8" name="条件/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7" displayName="T7" ref="A5:Q9" headerRowCount="1" totalsRowCount="0" totalsRowShown="0">
  <x:tableColumns count="17">
    <x:tableColumn id="1" name="情景"/>
    <x:tableColumn id="2" name="人数"/>
    <x:tableColumn id="3" name="等级"/>
    <x:tableColumn id="4" name="一级工资和"/>
    <x:tableColumn id="5" name="工资倍率"/>
    <x:tableColumn id="6" name="实际日薪"/>
    <x:tableColumn id="7" name="食物量/人日"/>
    <x:tableColumn id="8" name="食物单价"/>
    <x:tableColumn id="9" name="食品支出"/>
    <x:tableColumn id="10" name="维修"/>
    <x:tableColumn id="11" name="药品"/>
    <x:tableColumn id="12" name="弹药"/>
    <x:tableColumn id="13" name="维持费/日"/>
    <x:tableColumn id="14" name="再投资/日"/>
    <x:tableColumn id="15" name="需净入账/日"/>
    <x:tableColumn id="16" name="7日储备"/>
    <x:tableColumn id="17" name="具体名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8" displayName="T8" ref="A5:C30" headerRowCount="1" totalsRowCount="0" totalsRowShown="0">
  <x:tableColumns count="3">
    <x:tableColumn id="1" name="参数/结果"/>
    <x:tableColumn id="2" name="数值"/>
    <x:tableColumn id="3" name="口径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9" displayName="T9" ref="A5:O39" headerRowCount="1" totalsRowCount="0" totalsRowShown="0">
  <x:tableColumns count="15">
    <x:tableColumn id="1" name="人物"/>
    <x:tableColumn id="2" name="ID"/>
    <x:tableColumn id="3" name="当前定位"/>
    <x:tableColumn id="4" name="生命"/>
    <x:tableColumn id="5" name="疲劳上限"/>
    <x:tableColumn id="6" name="决心"/>
    <x:tableColumn id="7" name="先攻"/>
    <x:tableColumn id="8" name="近攻"/>
    <x:tableColumn id="9" name="远攻"/>
    <x:tableColumn id="10" name="近防"/>
    <x:tableColumn id="11" name="远防"/>
    <x:tableColumn id="12" name="当前报价"/>
    <x:tableColumn id="13" name="一级日薪"/>
    <x:tableColumn id="14" name="天赋"/>
    <x:tableColumn id="15" name="当前装备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10" displayName="T10" ref="A5:D25" headerRowCount="1" totalsRowCount="0" totalsRowShown="0">
  <x:tableColumns count="4">
    <x:tableColumn id="1" name="来源/参数"/>
    <x:tableColumn id="2" name="值或范围"/>
    <x:tableColumn id="3" name="解释"/>
    <x:tableColumn id="4" name="链接/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bb7562f936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c3dd3ae98945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578e111ad549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f98bfd1f1a42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42d44d1e91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33d21e78d0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c86e87316b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f9a9932406e46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abf0abc257f44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4dbef6e66b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2485e0d35884e9a" /></Relationships>
</file>

<file path=xl/worksheets/sheet1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3" hidden="0" customWidth="1"/>
    <x:col min="3" max="3" width="105" hidden="0" customWidth="1"/>
  </x:cols>
  <x:sheetData>
    <x:row r="1" ht="36" customHeight="1">
      <x:c r="A1" s="5" t="str">
        <x:v>阿飞远征团 · 全人物平衡 V1</x:v>
      </x:c>
      <x:c r="B1" s="3"/>
      <x:c r="C1" s="3"/>
    </x:row>
    <x:row r="2" ht="25" customHeight="1">
      <x:c r="A2" s="3"/>
      <x:c r="B2" s="3"/>
      <x:c r="C2" s="3"/>
    </x:row>
    <x:row r="3" ht="25" customHeight="1">
      <x:c r="A3" s="7" t="str">
        <x:v>先设计和验证，再决定实装。2026-09-29；共11张表。所有现行运行文件保持不变。</x:v>
      </x:c>
      <x:c r="B3" s="3"/>
      <x:c r="C3" s="3"/>
    </x:row>
    <x:row r="4" ht="25" customHeight="1">
      <x:c r="A4" s="3"/>
      <x:c r="B4" s="3"/>
      <x:c r="C4" s="3"/>
    </x:row>
    <x:row r="5" ht="36" customHeight="1">
      <x:c r="A5" s="9" t="str">
        <x:v>主题</x:v>
      </x:c>
      <x:c r="B5" s="9" t="str">
        <x:v>结果/入口</x:v>
      </x:c>
      <x:c r="C5" s="9" t="str">
        <x:v>说明</x:v>
      </x:c>
    </x:row>
    <x:row r="6" ht="58" customHeight="1">
      <x:c r="A6" s="10" t="str">
        <x:v>在册战斗人物</x:v>
      </x:c>
      <x:c r="B6" s="10" t="n">
        <x:v>34</x:v>
      </x:c>
      <x:c r="C6" s="10" t="str">
        <x:v>刀一10、刀二8、0.5DFW猪团14、旅途来客2；不含剧情NPC或退役人物</x:v>
      </x:c>
    </x:row>
    <x:row r="7" ht="58" customHeight="1">
      <x:c r="A7" s="3" t="str">
        <x:v>成员技能选项</x:v>
      </x:c>
      <x:c r="B7" s="3" t="n">
        <x:v>99</x:v>
      </x:c>
      <x:c r="C7" s="3" t="str">
        <x:v>33人各三选一；眼子哥补齐3选项</x:v>
      </x:c>
    </x:row>
    <x:row r="8" ht="58" customHeight="1">
      <x:c r="A8" s="10" t="str">
        <x:v>队长路线</x:v>
      </x:c>
      <x:c r="B8" s="10" t="n">
        <x:v>3</x:v>
      </x:c>
      <x:c r="C8" s="10" t="str">
        <x:v>蛤蟆人／嘉豪／飞碟互斥；电子烟与自行车单列</x:v>
      </x:c>
    </x:row>
    <x:row r="9" ht="58" customHeight="1">
      <x:c r="A9" s="3" t="str">
        <x:v>34人成长预算</x:v>
      </x:c>
      <x:c r="B9" s="3" t="str">
        <x:v>每人30项</x:v>
      </x:c>
      <x:c r="C9" s="3" t="str">
        <x:v>属性成长可修改基础/天赋/选点/剧情分支；成长总览检查非法分配</x:v>
      </x:c>
    </x:row>
    <x:row r="10" ht="58" customHeight="1">
      <x:c r="A10" s="10" t="str">
        <x:v>全员招募预算</x:v>
      </x:c>
      <x:c r="B10" s="19" t="n">
        <x:f>SUM('招募节奏'!P6:P39)</x:f>
        <x:v>32160</x:v>
      </x:c>
      <x:c r="C10" s="10" t="str">
        <x:v>城镇倍率前，取招募节奏当前实际入队等级；不包括后期换装</x:v>
      </x:c>
    </x:row>
    <x:row r="11" ht="58" customHeight="1">
      <x:c r="A11" s="3" t="str">
        <x:v>12+4轮换需日入账</x:v>
      </x:c>
      <x:c r="B11" s="19" t="n">
        <x:f>'经济模型'!O8</x:f>
        <x:v>1183.8734015412006</x:v>
      </x:c>
      <x:c r="C11" s="3" t="str">
        <x:v>经济模型第三情景，含再投资；不是测得的固定收入</x:v>
      </x:c>
    </x:row>
    <x:row r="12" ht="58" customHeight="1">
      <x:c r="A12" s="10" t="str">
        <x:v>34人收藏需日入账</x:v>
      </x:c>
      <x:c r="B12" s="19" t="n">
        <x:f>'经济模型'!O9</x:f>
        <x:v>2014.496742763201</x:v>
      </x:c>
      <x:c r="C12" s="10" t="str">
        <x:v>全收藏有持续运营成本；不是常规12人通关要求</x:v>
      </x:c>
    </x:row>
    <x:row r="13" ht="58" customHeight="1">
      <x:c r="A13" s="3" t="str">
        <x:v>已通过原版公式边界</x:v>
      </x:c>
      <x:c r="B13" s="3" t="n">
        <x:v>256</x:v>
      </x:c>
      <x:c r="C13" s="3" t="str">
        <x:v>独立执行本机伤害片段与Python模型对比</x:v>
      </x:c>
    </x:row>
    <x:row r="14" ht="58" customHeight="1">
      <x:c r="A14" s="10" t="str">
        <x:v>练习靶试验次数</x:v>
      </x:c>
      <x:c r="B14" s="10" t="n">
        <x:v>48000</x:v>
      </x:c>
      <x:c r="C14" s="10" t="str">
        <x:v>4武器×3靶子×4000；靶子没有AI/反击/疲劳，不代表实际胜率</x:v>
      </x:c>
    </x:row>
    <x:row r="15" ht="58" customHeight="1">
      <x:c r="A15" s="3" t="str">
        <x:v>实际游戏平衡</x:v>
      </x:c>
      <x:c r="B15" s="3" t="str">
        <x:v>待实机验收</x:v>
      </x:c>
      <x:c r="C15" s="3" t="str">
        <x:v>99分支、3路线、角色组合、敌军地图及经济难度尚需实测</x:v>
      </x:c>
    </x:row>
    <x:row r="16" ht="58" customHeight="1">
      <x:c r="A16" s="10" t="str">
        <x:v>书籍阅读范围</x:v>
      </x:c>
      <x:c r="B16" s="10" t="str">
        <x:v>公开材料</x:v>
      </x:c>
      <x:c r="C16" s="10" t="str">
        <x:v>仅目录/简介/公开样章/作者课程与论文；未声称读完4本书</x:v>
      </x:c>
    </x:row>
    <x:row r="17" ht="58" customHeight="1">
      <x:c r="A17" s="3" t="str">
        <x:v>完整设计</x:v>
      </x:c>
      <x:c r="B17" s="3" t="str">
        <x:v>总方案.md</x:v>
      </x:c>
      <x:c r="C17" s="3" t="str">
        <x:v>人物手册、技能契约、研究依据、验证报告与本表同目录</x:v>
      </x:c>
    </x:row>
    <x:row r="18" ht="58" customHeight="1">
      <x:c r="A18" s="10" t="str">
        <x:v>修改方式</x:v>
      </x:c>
      <x:c r="B18" s="10" t="str">
        <x:v>黄色输入</x:v>
      </x:c>
      <x:c r="C18" s="10" t="str">
        <x:v>绿色自动重算；改动不自动回写JSON或游戏，请同步设计源后重新验证</x:v>
      </x:c>
    </x:row>
  </x:sheetData>
  <x:pageMargins left="0.7" right="0.7" top="0.75" bottom="0.75" header="0.3" footer="0.3"/>
  <x:tableParts count="1">
    <x:tablePart xmlns:r="http://schemas.openxmlformats.org/officeDocument/2006/relationships" r:id="R06bb7562f9364cca"/>
  </x:tableParts>
</x:worksheet>
</file>

<file path=xl/worksheets/sheet2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4" hidden="0" customWidth="1"/>
    <x:col min="11" max="11" width="20" hidden="0" customWidth="1"/>
    <x:col min="12" max="12" width="13" hidden="0" customWidth="1"/>
    <x:col min="13" max="13" width="12" hidden="0" customWidth="1"/>
    <x:col min="14" max="14" width="12" hidden="0" customWidth="1"/>
    <x:col min="15" max="15" width="13" hidden="0" customWidth="1"/>
    <x:col min="16" max="16" width="14" hidden="0" customWidth="1"/>
    <x:col min="17" max="17" width="12" hidden="0" customWidth="1"/>
  </x:cols>
  <x:sheetData>
    <x:row r="1" ht="36" customHeight="1">
      <x:c r="A1" s="5" t="str">
        <x:v>34人招募与报价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5" customHeight="1">
      <x:c r="A3" s="7" t="str">
        <x:v>黄色可编辑；所有门槛同时满足；历史最高等级输入用于实际补级与价格。价格为城镇修正前。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6" customHeight="1">
      <x:c r="A5" s="9" t="str">
        <x:v>人物</x:v>
      </x:c>
      <x:c r="B5" s="9" t="str">
        <x:v>ID</x:v>
      </x:c>
      <x:c r="C5" s="9" t="str">
        <x:v>分组</x:v>
      </x:c>
      <x:c r="D5" s="9" t="str">
        <x:v>定位</x:v>
      </x:c>
      <x:c r="E5" s="9" t="str">
        <x:v>最低日</x:v>
      </x:c>
      <x:c r="F5" s="9" t="str">
        <x:v>参战≥</x:v>
      </x:c>
      <x:c r="G5" s="9" t="str">
        <x:v>履约≥</x:v>
      </x:c>
      <x:c r="H5" s="9" t="str">
        <x:v>城镇≥</x:v>
      </x:c>
      <x:c r="I5" s="9" t="str">
        <x:v>资格等级≥</x:v>
      </x:c>
      <x:c r="J5" s="9" t="str">
        <x:v>阶段等级上限</x:v>
      </x:c>
      <x:c r="K5" s="9" t="str">
        <x:v>候选生成时历史最高等级</x:v>
      </x:c>
      <x:c r="L5" s="9" t="str">
        <x:v>实际入队级</x:v>
      </x:c>
      <x:c r="M5" s="9" t="str">
        <x:v>服务费</x:v>
      </x:c>
      <x:c r="N5" s="9" t="str">
        <x:v>一级日薪</x:v>
      </x:c>
      <x:c r="O5" s="9" t="str">
        <x:v>装备原价</x:v>
      </x:c>
      <x:c r="P5" s="9" t="str">
        <x:v>基准总价</x:v>
      </x:c>
      <x:c r="Q5" s="9" t="str">
        <x:v>是否队长</x:v>
      </x:c>
    </x:row>
    <x:row r="6" ht="25" customHeight="1">
      <x:c r="A6" s="10" t="str">
        <x:v>阿飞</x:v>
      </x:c>
      <x:c r="B6" s="10" t="str">
        <x:v>afei</x:v>
      </x:c>
      <x:c r="C6" s="10" t="str">
        <x:v>刀一黑队</x:v>
      </x:c>
      <x:c r="D6" s="10" t="str">
        <x:v>成长型队长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  <x:c r="I6" s="15" t="n">
        <x:v>1</x:v>
      </x:c>
      <x:c r="J6" s="15" t="n">
        <x:v>1</x:v>
      </x:c>
      <x:c r="K6" s="15" t="n">
        <x:v>8</x:v>
      </x:c>
      <x:c r="L6" s="19" t="n">
        <x:f>MAX(1,MIN(J6,1+INT((K6-2)/3)))</x:f>
        <x:v>1</x:v>
      </x:c>
      <x:c r="M6" s="15" t="n">
        <x:v>0</x:v>
      </x:c>
      <x:c r="N6" s="15" t="n">
        <x:v>8</x:v>
      </x:c>
      <x:c r="O6" s="16" t="n">
        <x:v>440</x:v>
      </x:c>
      <x:c r="P6" s="19" t="n">
        <x:f>IF(Q6=1,0,ROUNDUP((M6+O6*'来源说明'!$B$6+'来源说明'!$B$7*(L6-1)^1.5)/10,0)*10)</x:f>
        <x:v>0</x:v>
      </x:c>
      <x:c r="Q6" s="16" t="n">
        <x:v>1</x:v>
      </x:c>
    </x:row>
    <x:row r="7" ht="25" customHeight="1">
      <x:c r="A7" s="3" t="str">
        <x:v>王大谋</x:v>
      </x:c>
      <x:c r="B7" s="3" t="str">
        <x:v>damou</x:v>
      </x:c>
      <x:c r="C7" s="3" t="str">
        <x:v>刀一黑队</x:v>
      </x:c>
      <x:c r="D7" s="3" t="str">
        <x:v>单点护卫盾师</x:v>
      </x:c>
      <x:c r="E7" s="15" t="n">
        <x:v>0</x:v>
      </x:c>
      <x:c r="F7" s="15" t="n">
        <x:v>0</x:v>
      </x:c>
      <x:c r="G7" s="15" t="n">
        <x:v>0</x:v>
      </x:c>
      <x:c r="H7" s="15" t="n">
        <x:v>0</x:v>
      </x:c>
      <x:c r="I7" s="15" t="n">
        <x:v>1</x:v>
      </x:c>
      <x:c r="J7" s="15" t="n">
        <x:v>1</x:v>
      </x:c>
      <x:c r="K7" s="15" t="n">
        <x:v>8</x:v>
      </x:c>
      <x:c r="L7" s="19" t="n">
        <x:f>MAX(1,MIN(J7,1+INT((K7-2)/3)))</x:f>
        <x:v>1</x:v>
      </x:c>
      <x:c r="M7" s="15" t="n">
        <x:v>0</x:v>
      </x:c>
      <x:c r="N7" s="15" t="n">
        <x:v>15</x:v>
      </x:c>
      <x:c r="O7" s="17" t="n">
        <x:v>580</x:v>
      </x:c>
      <x:c r="P7" s="19" t="n">
        <x:f>IF(Q7=1,0,ROUNDUP((M7+O7*'来源说明'!$B$6+'来源说明'!$B$7*(L7-1)^1.5)/10,0)*10)</x:f>
        <x:v>0</x:v>
      </x:c>
      <x:c r="Q7" s="17" t="n">
        <x:v>1</x:v>
      </x:c>
    </x:row>
    <x:row r="8" ht="25" customHeight="1">
      <x:c r="A8" s="10" t="str">
        <x:v>午夜抹抹茶</x:v>
      </x:c>
      <x:c r="B8" s="10" t="str">
        <x:v>mocha</x:v>
      </x:c>
      <x:c r="C8" s="10" t="str">
        <x:v>刀一黑队</x:v>
      </x:c>
      <x:c r="D8" s="10" t="str">
        <x:v>弩手兼军需账房</x:v>
      </x:c>
      <x:c r="E8" s="15" t="n">
        <x:v>0</x:v>
      </x:c>
      <x:c r="F8" s="15" t="n">
        <x:v>0</x:v>
      </x:c>
      <x:c r="G8" s="15" t="n">
        <x:v>0</x:v>
      </x:c>
      <x:c r="H8" s="15" t="n">
        <x:v>0</x:v>
      </x:c>
      <x:c r="I8" s="15" t="n">
        <x:v>1</x:v>
      </x:c>
      <x:c r="J8" s="15" t="n">
        <x:v>1</x:v>
      </x:c>
      <x:c r="K8" s="15" t="n">
        <x:v>8</x:v>
      </x:c>
      <x:c r="L8" s="19" t="n">
        <x:f>MAX(1,MIN(J8,1+INT((K8-2)/3)))</x:f>
        <x:v>1</x:v>
      </x:c>
      <x:c r="M8" s="15" t="n">
        <x:v>0</x:v>
      </x:c>
      <x:c r="N8" s="15" t="n">
        <x:v>10</x:v>
      </x:c>
      <x:c r="O8" s="16" t="n">
        <x:v>495</x:v>
      </x:c>
      <x:c r="P8" s="19" t="n">
        <x:f>IF(Q8=1,0,ROUNDUP((M8+O8*'来源说明'!$B$6+'来源说明'!$B$7*(L8-1)^1.5)/10,0)*10)</x:f>
        <x:v>0</x:v>
      </x:c>
      <x:c r="Q8" s="16" t="n">
        <x:v>1</x:v>
      </x:c>
    </x:row>
    <x:row r="9" ht="25" customHeight="1">
      <x:c r="A9" s="3" t="str">
        <x:v>小酒瓶</x:v>
      </x:c>
      <x:c r="B9" s="3" t="str">
        <x:v>bottle</x:v>
      </x:c>
      <x:c r="C9" s="3" t="str">
        <x:v>刀一黑队</x:v>
      </x:c>
      <x:c r="D9" s="3" t="str">
        <x:v>高成长决战剑士</x:v>
      </x:c>
      <x:c r="E9" s="15" t="n">
        <x:v>12</x:v>
      </x:c>
      <x:c r="F9" s="15" t="n">
        <x:v>6</x:v>
      </x:c>
      <x:c r="G9" s="15" t="n">
        <x:v>3</x:v>
      </x:c>
      <x:c r="H9" s="15" t="n">
        <x:v>3</x:v>
      </x:c>
      <x:c r="I9" s="15" t="n">
        <x:v>3</x:v>
      </x:c>
      <x:c r="J9" s="15" t="n">
        <x:v>1</x:v>
      </x:c>
      <x:c r="K9" s="15" t="n">
        <x:v>8</x:v>
      </x:c>
      <x:c r="L9" s="19" t="n">
        <x:f>MAX(1,MIN(J9,1+INT((K9-2)/3)))</x:f>
        <x:v>1</x:v>
      </x:c>
      <x:c r="M9" s="15" t="n">
        <x:v>900</x:v>
      </x:c>
      <x:c r="N9" s="15" t="n">
        <x:v>16</x:v>
      </x:c>
      <x:c r="O9" s="17" t="n">
        <x:v>750</x:v>
      </x:c>
      <x:c r="P9" s="19" t="n">
        <x:f>IF(Q9=1,0,ROUNDUP((M9+O9*'来源说明'!$B$6+'来源说明'!$B$7*(L9-1)^1.5)/10,0)*10)</x:f>
        <x:v>1350</x:v>
      </x:c>
      <x:c r="Q9" s="17" t="n">
        <x:v>0</x:v>
      </x:c>
    </x:row>
    <x:row r="10" ht="25" customHeight="1">
      <x:c r="A10" s="10" t="str">
        <x:v>白小帅子</x:v>
      </x:c>
      <x:c r="B10" s="10" t="str">
        <x:v>shuaizi</x:v>
      </x:c>
      <x:c r="C10" s="10" t="str">
        <x:v>刀一黑队</x:v>
      </x:c>
      <x:c r="D10" s="10" t="str">
        <x:v>低成本守线盾卫</x:v>
      </x:c>
      <x:c r="E10" s="15" t="n">
        <x:v>2</x:v>
      </x:c>
      <x:c r="F10" s="15" t="n">
        <x:v>0</x:v>
      </x:c>
      <x:c r="G10" s="15" t="n">
        <x:v>0</x:v>
      </x:c>
      <x:c r="H10" s="15" t="n">
        <x:v>2</x:v>
      </x:c>
      <x:c r="I10" s="15" t="n">
        <x:v>1</x:v>
      </x:c>
      <x:c r="J10" s="15" t="n">
        <x:v>1</x:v>
      </x:c>
      <x:c r="K10" s="15" t="n">
        <x:v>8</x:v>
      </x:c>
      <x:c r="L10" s="19" t="n">
        <x:f>MAX(1,MIN(J10,1+INT((K10-2)/3)))</x:f>
        <x:v>1</x:v>
      </x:c>
      <x:c r="M10" s="15" t="n">
        <x:v>140</x:v>
      </x:c>
      <x:c r="N10" s="15" t="n">
        <x:v>9</x:v>
      </x:c>
      <x:c r="O10" s="16" t="n">
        <x:v>440</x:v>
      </x:c>
      <x:c r="P10" s="19" t="n">
        <x:f>IF(Q10=1,0,ROUNDUP((M10+O10*'来源说明'!$B$6+'来源说明'!$B$7*(L10-1)^1.5)/10,0)*10)</x:f>
        <x:v>410</x:v>
      </x:c>
      <x:c r="Q10" s="16" t="n">
        <x:v>0</x:v>
      </x:c>
    </x:row>
    <x:row r="11" ht="25" customHeight="1">
      <x:c r="A11" s="3" t="str">
        <x:v>李李超欧</x:v>
      </x:c>
      <x:c r="B11" s="3" t="str">
        <x:v>lili</x:v>
      </x:c>
      <x:c r="C11" s="3" t="str">
        <x:v>刀一黑队</x:v>
      </x:c>
      <x:c r="D11" s="3" t="str">
        <x:v>远距弓手</x:v>
      </x:c>
      <x:c r="E11" s="15" t="n">
        <x:v>5</x:v>
      </x:c>
      <x:c r="F11" s="15" t="n">
        <x:v>2</x:v>
      </x:c>
      <x:c r="G11" s="15" t="n">
        <x:v>1</x:v>
      </x:c>
      <x:c r="H11" s="15" t="n">
        <x:v>2</x:v>
      </x:c>
      <x:c r="I11" s="15" t="n">
        <x:v>2</x:v>
      </x:c>
      <x:c r="J11" s="15" t="n">
        <x:v>1</x:v>
      </x:c>
      <x:c r="K11" s="15" t="n">
        <x:v>8</x:v>
      </x:c>
      <x:c r="L11" s="19" t="n">
        <x:f>MAX(1,MIN(J11,1+INT((K11-2)/3)))</x:f>
        <x:v>1</x:v>
      </x:c>
      <x:c r="M11" s="15" t="n">
        <x:v>200</x:v>
      </x:c>
      <x:c r="N11" s="15" t="n">
        <x:v>11</x:v>
      </x:c>
      <x:c r="O11" s="17" t="n">
        <x:v>395</x:v>
      </x:c>
      <x:c r="P11" s="19" t="n">
        <x:f>IF(Q11=1,0,ROUNDUP((M11+O11*'来源说明'!$B$6+'来源说明'!$B$7*(L11-1)^1.5)/10,0)*10)</x:f>
        <x:v>440</x:v>
      </x:c>
      <x:c r="Q11" s="17" t="n">
        <x:v>0</x:v>
      </x:c>
    </x:row>
    <x:row r="12" ht="25" customHeight="1">
      <x:c r="A12" s="10" t="str">
        <x:v>小月牙</x:v>
      </x:c>
      <x:c r="B12" s="10" t="str">
        <x:v>xiaoyueya</x:v>
      </x:c>
      <x:c r="C12" s="10" t="str">
        <x:v>刀一黑队</x:v>
      </x:c>
      <x:c r="D12" s="10" t="str">
        <x:v>近距投掷兼补给</x:v>
      </x:c>
      <x:c r="E12" s="15" t="n">
        <x:v>7</x:v>
      </x:c>
      <x:c r="F12" s="15" t="n">
        <x:v>2</x:v>
      </x:c>
      <x:c r="G12" s="15" t="n">
        <x:v>1</x:v>
      </x:c>
      <x:c r="H12" s="15" t="n">
        <x:v>3</x:v>
      </x:c>
      <x:c r="I12" s="15" t="n">
        <x:v>2</x:v>
      </x:c>
      <x:c r="J12" s="15" t="n">
        <x:v>1</x:v>
      </x:c>
      <x:c r="K12" s="15" t="n">
        <x:v>8</x:v>
      </x:c>
      <x:c r="L12" s="19" t="n">
        <x:f>MAX(1,MIN(J12,1+INT((K12-2)/3)))</x:f>
        <x:v>1</x:v>
      </x:c>
      <x:c r="M12" s="15" t="n">
        <x:v>130</x:v>
      </x:c>
      <x:c r="N12" s="15" t="n">
        <x:v>9</x:v>
      </x:c>
      <x:c r="O12" s="16" t="n">
        <x:v>560</x:v>
      </x:c>
      <x:c r="P12" s="19" t="n">
        <x:f>IF(Q12=1,0,ROUNDUP((M12+O12*'来源说明'!$B$6+'来源说明'!$B$7*(L12-1)^1.5)/10,0)*10)</x:f>
        <x:v>470</x:v>
      </x:c>
      <x:c r="Q12" s="16" t="n">
        <x:v>0</x:v>
      </x:c>
    </x:row>
    <x:row r="13" ht="25" customHeight="1">
      <x:c r="A13" s="3" t="str">
        <x:v>余初九</x:v>
      </x:c>
      <x:c r="B13" s="3" t="str">
        <x:v>yuchujiu</x:v>
      </x:c>
      <x:c r="C13" s="3" t="str">
        <x:v>刀一黑队</x:v>
      </x:c>
      <x:c r="D13" s="3" t="str">
        <x:v>轻装救援近战</x:v>
      </x:c>
      <x:c r="E13" s="15" t="n">
        <x:v>10</x:v>
      </x:c>
      <x:c r="F13" s="15" t="n">
        <x:v>4</x:v>
      </x:c>
      <x:c r="G13" s="15" t="n">
        <x:v>1</x:v>
      </x:c>
      <x:c r="H13" s="15" t="n">
        <x:v>3</x:v>
      </x:c>
      <x:c r="I13" s="15" t="n">
        <x:v>2</x:v>
      </x:c>
      <x:c r="J13" s="15" t="n">
        <x:v>1</x:v>
      </x:c>
      <x:c r="K13" s="15" t="n">
        <x:v>8</x:v>
      </x:c>
      <x:c r="L13" s="19" t="n">
        <x:f>MAX(1,MIN(J13,1+INT((K13-2)/3)))</x:f>
        <x:v>1</x:v>
      </x:c>
      <x:c r="M13" s="15" t="n">
        <x:v>230</x:v>
      </x:c>
      <x:c r="N13" s="15" t="n">
        <x:v>11</x:v>
      </x:c>
      <x:c r="O13" s="17" t="n">
        <x:v>510</x:v>
      </x:c>
      <x:c r="P13" s="19" t="n">
        <x:f>IF(Q13=1,0,ROUNDUP((M13+O13*'来源说明'!$B$6+'来源说明'!$B$7*(L13-1)^1.5)/10,0)*10)</x:f>
        <x:v>540</x:v>
      </x:c>
      <x:c r="Q13" s="17" t="n">
        <x:v>0</x:v>
      </x:c>
    </x:row>
    <x:row r="14" ht="25" customHeight="1">
      <x:c r="A14" s="10" t="str">
        <x:v>小鱼贝壳</x:v>
      </x:c>
      <x:c r="B14" s="10" t="str">
        <x:v>xiaoyubeike</x:v>
      </x:c>
      <x:c r="C14" s="10" t="str">
        <x:v>刀一黑队</x:v>
      </x:c>
      <x:c r="D14" s="10" t="str">
        <x:v>高生命双手前锋</x:v>
      </x:c>
      <x:c r="E14" s="15" t="n">
        <x:v>14</x:v>
      </x:c>
      <x:c r="F14" s="15" t="n">
        <x:v>6</x:v>
      </x:c>
      <x:c r="G14" s="15" t="n">
        <x:v>2</x:v>
      </x:c>
      <x:c r="H14" s="15" t="n">
        <x:v>3</x:v>
      </x:c>
      <x:c r="I14" s="15" t="n">
        <x:v>3</x:v>
      </x:c>
      <x:c r="J14" s="15" t="n">
        <x:v>1</x:v>
      </x:c>
      <x:c r="K14" s="15" t="n">
        <x:v>8</x:v>
      </x:c>
      <x:c r="L14" s="19" t="n">
        <x:f>MAX(1,MIN(J14,1+INT((K14-2)/3)))</x:f>
        <x:v>1</x:v>
      </x:c>
      <x:c r="M14" s="15" t="n">
        <x:v>300</x:v>
      </x:c>
      <x:c r="N14" s="15" t="n">
        <x:v>12</x:v>
      </x:c>
      <x:c r="O14" s="16" t="n">
        <x:v>520</x:v>
      </x:c>
      <x:c r="P14" s="19" t="n">
        <x:f>IF(Q14=1,0,ROUNDUP((M14+O14*'来源说明'!$B$6+'来源说明'!$B$7*(L14-1)^1.5)/10,0)*10)</x:f>
        <x:v>620</x:v>
      </x:c>
      <x:c r="Q14" s="16" t="n">
        <x:v>0</x:v>
      </x:c>
    </x:row>
    <x:row r="15" ht="25" customHeight="1">
      <x:c r="A15" s="3" t="str">
        <x:v>王怼怼</x:v>
      </x:c>
      <x:c r="B15" s="3" t="str">
        <x:v>wangduidui</x:v>
      </x:c>
      <x:c r="C15" s="3" t="str">
        <x:v>刀一黑队</x:v>
      </x:c>
      <x:c r="D15" s="3" t="str">
        <x:v>副旗手与接班指挥</x:v>
      </x:c>
      <x:c r="E15" s="15" t="n">
        <x:v>16</x:v>
      </x:c>
      <x:c r="F15" s="15" t="n">
        <x:v>6</x:v>
      </x:c>
      <x:c r="G15" s="15" t="n">
        <x:v>3</x:v>
      </x:c>
      <x:c r="H15" s="15" t="n">
        <x:v>4</x:v>
      </x:c>
      <x:c r="I15" s="15" t="n">
        <x:v>3</x:v>
      </x:c>
      <x:c r="J15" s="15" t="n">
        <x:v>1</x:v>
      </x:c>
      <x:c r="K15" s="15" t="n">
        <x:v>8</x:v>
      </x:c>
      <x:c r="L15" s="19" t="n">
        <x:f>MAX(1,MIN(J15,1+INT((K15-2)/3)))</x:f>
        <x:v>1</x:v>
      </x:c>
      <x:c r="M15" s="15" t="n">
        <x:v>240</x:v>
      </x:c>
      <x:c r="N15" s="15" t="n">
        <x:v>12</x:v>
      </x:c>
      <x:c r="O15" s="17" t="n">
        <x:v>450</x:v>
      </x:c>
      <x:c r="P15" s="19" t="n">
        <x:f>IF(Q15=1,0,ROUNDUP((M15+O15*'来源说明'!$B$6+'来源说明'!$B$7*(L15-1)^1.5)/10,0)*10)</x:f>
        <x:v>510</x:v>
      </x:c>
      <x:c r="Q15" s="17" t="n">
        <x:v>0</x:v>
      </x:c>
    </x:row>
    <x:row r="16" ht="25" customHeight="1">
      <x:c r="A16" s="10" t="str">
        <x:v>老蔡</x:v>
      </x:c>
      <x:c r="B16" s="10" t="str">
        <x:v>laocai</x:v>
      </x:c>
      <x:c r="C16" s="10" t="str">
        <x:v>刀二蓝队</x:v>
      </x:c>
      <x:c r="D16" s="10" t="str">
        <x:v>中期重甲盾锚</x:v>
      </x:c>
      <x:c r="E16" s="15" t="n">
        <x:v>20</x:v>
      </x:c>
      <x:c r="F16" s="15" t="n">
        <x:v>8</x:v>
      </x:c>
      <x:c r="G16" s="15" t="n">
        <x:v>3</x:v>
      </x:c>
      <x:c r="H16" s="15" t="n">
        <x:v>4</x:v>
      </x:c>
      <x:c r="I16" s="15" t="n">
        <x:v>4</x:v>
      </x:c>
      <x:c r="J16" s="15" t="n">
        <x:v>1</x:v>
      </x:c>
      <x:c r="K16" s="15" t="n">
        <x:v>8</x:v>
      </x:c>
      <x:c r="L16" s="19" t="n">
        <x:f>MAX(1,MIN(J16,1+INT((K16-2)/3)))</x:f>
        <x:v>1</x:v>
      </x:c>
      <x:c r="M16" s="15" t="n">
        <x:v>400</x:v>
      </x:c>
      <x:c r="N16" s="15" t="n">
        <x:v>16</x:v>
      </x:c>
      <x:c r="O16" s="16" t="n">
        <x:v>580</x:v>
      </x:c>
      <x:c r="P16" s="19" t="n">
        <x:f>IF(Q16=1,0,ROUNDUP((M16+O16*'来源说明'!$B$6+'来源说明'!$B$7*(L16-1)^1.5)/10,0)*10)</x:f>
        <x:v>750</x:v>
      </x:c>
      <x:c r="Q16" s="16" t="n">
        <x:v>0</x:v>
      </x:c>
    </x:row>
    <x:row r="17" ht="25" customHeight="1">
      <x:c r="A17" s="3" t="str">
        <x:v>眼子哥</x:v>
      </x:c>
      <x:c r="B17" s="3" t="str">
        <x:v>yanzi</x:v>
      </x:c>
      <x:c r="C17" s="3" t="str">
        <x:v>刀二蓝队</x:v>
      </x:c>
      <x:c r="D17" s="3" t="str">
        <x:v>剑盾反制游击</x:v>
      </x:c>
      <x:c r="E17" s="15" t="n">
        <x:v>18</x:v>
      </x:c>
      <x:c r="F17" s="15" t="n">
        <x:v>7</x:v>
      </x:c>
      <x:c r="G17" s="15" t="n">
        <x:v>3</x:v>
      </x:c>
      <x:c r="H17" s="15" t="n">
        <x:v>4</x:v>
      </x:c>
      <x:c r="I17" s="15" t="n">
        <x:v>3</x:v>
      </x:c>
      <x:c r="J17" s="15" t="n">
        <x:v>1</x:v>
      </x:c>
      <x:c r="K17" s="15" t="n">
        <x:v>8</x:v>
      </x:c>
      <x:c r="L17" s="19" t="n">
        <x:f>MAX(1,MIN(J17,1+INT((K17-2)/3)))</x:f>
        <x:v>1</x:v>
      </x:c>
      <x:c r="M17" s="15" t="n">
        <x:v>250</x:v>
      </x:c>
      <x:c r="N17" s="15" t="n">
        <x:v>12</x:v>
      </x:c>
      <x:c r="O17" s="17" t="n">
        <x:v>750</x:v>
      </x:c>
      <x:c r="P17" s="19" t="n">
        <x:f>IF(Q17=1,0,ROUNDUP((M17+O17*'来源说明'!$B$6+'来源说明'!$B$7*(L17-1)^1.5)/10,0)*10)</x:f>
        <x:v>700</x:v>
      </x:c>
      <x:c r="Q17" s="17" t="n">
        <x:v>0</x:v>
      </x:c>
    </x:row>
    <x:row r="18" ht="25" customHeight="1">
      <x:c r="A18" s="10" t="str">
        <x:v>亿口甜筒</x:v>
      </x:c>
      <x:c r="B18" s="10" t="str">
        <x:v>tiantong</x:v>
      </x:c>
      <x:c r="C18" s="10" t="str">
        <x:v>刀二蓝队</x:v>
      </x:c>
      <x:c r="D18" s="10" t="str">
        <x:v>稳健游猎弓手</x:v>
      </x:c>
      <x:c r="E18" s="15" t="n">
        <x:v>22</x:v>
      </x:c>
      <x:c r="F18" s="15" t="n">
        <x:v>8</x:v>
      </x:c>
      <x:c r="G18" s="15" t="n">
        <x:v>4</x:v>
      </x:c>
      <x:c r="H18" s="15" t="n">
        <x:v>5</x:v>
      </x:c>
      <x:c r="I18" s="15" t="n">
        <x:v>4</x:v>
      </x:c>
      <x:c r="J18" s="15" t="n">
        <x:v>1</x:v>
      </x:c>
      <x:c r="K18" s="15" t="n">
        <x:v>8</x:v>
      </x:c>
      <x:c r="L18" s="19" t="n">
        <x:f>MAX(1,MIN(J18,1+INT((K18-2)/3)))</x:f>
        <x:v>1</x:v>
      </x:c>
      <x:c r="M18" s="15" t="n">
        <x:v>320</x:v>
      </x:c>
      <x:c r="N18" s="15" t="n">
        <x:v>12</x:v>
      </x:c>
      <x:c r="O18" s="16" t="n">
        <x:v>935</x:v>
      </x:c>
      <x:c r="P18" s="19" t="n">
        <x:f>IF(Q18=1,0,ROUNDUP((M18+O18*'来源说明'!$B$6+'来源说明'!$B$7*(L18-1)^1.5)/10,0)*10)</x:f>
        <x:v>890</x:v>
      </x:c>
      <x:c r="Q18" s="16" t="n">
        <x:v>0</x:v>
      </x:c>
    </x:row>
    <x:row r="19" ht="25" customHeight="1">
      <x:c r="A19" s="3" t="str">
        <x:v>小宁</x:v>
      </x:c>
      <x:c r="B19" s="3" t="str">
        <x:v>xiaoning</x:v>
      </x:c>
      <x:c r="C19" s="3" t="str">
        <x:v>刀二蓝队</x:v>
      </x:c>
      <x:c r="D19" s="3" t="str">
        <x:v>定点穿甲弩手</x:v>
      </x:c>
      <x:c r="E19" s="15" t="n">
        <x:v>26</x:v>
      </x:c>
      <x:c r="F19" s="15" t="n">
        <x:v>10</x:v>
      </x:c>
      <x:c r="G19" s="15" t="n">
        <x:v>4</x:v>
      </x:c>
      <x:c r="H19" s="15" t="n">
        <x:v>5</x:v>
      </x:c>
      <x:c r="I19" s="15" t="n">
        <x:v>4</x:v>
      </x:c>
      <x:c r="J19" s="15" t="n">
        <x:v>2</x:v>
      </x:c>
      <x:c r="K19" s="15" t="n">
        <x:v>8</x:v>
      </x:c>
      <x:c r="L19" s="19" t="n">
        <x:f>MAX(1,MIN(J19,1+INT((K19-2)/3)))</x:f>
        <x:v>2</x:v>
      </x:c>
      <x:c r="M19" s="15" t="n">
        <x:v>430</x:v>
      </x:c>
      <x:c r="N19" s="15" t="n">
        <x:v>14</x:v>
      </x:c>
      <x:c r="O19" s="17" t="n">
        <x:v>1015</x:v>
      </x:c>
      <x:c r="P19" s="19" t="n">
        <x:f>IF(Q19=1,0,ROUNDUP((M19+O19*'来源说明'!$B$6+'来源说明'!$B$7*(L19-1)^1.5)/10,0)*10)</x:f>
        <x:v>1160</x:v>
      </x:c>
      <x:c r="Q19" s="17" t="n">
        <x:v>0</x:v>
      </x:c>
    </x:row>
    <x:row r="20" ht="25" customHeight="1">
      <x:c r="A20" s="10" t="str">
        <x:v>小胖徐不快乐</x:v>
      </x:c>
      <x:c r="B20" s="10" t="str">
        <x:v>xiaopangxu</x:v>
      </x:c>
      <x:c r="C20" s="10" t="str">
        <x:v>刀二蓝队</x:v>
      </x:c>
      <x:c r="D20" s="10" t="str">
        <x:v>耐力盾斧与破盾</x:v>
      </x:c>
      <x:c r="E20" s="15" t="n">
        <x:v>28</x:v>
      </x:c>
      <x:c r="F20" s="15" t="n">
        <x:v>11</x:v>
      </x:c>
      <x:c r="G20" s="15" t="n">
        <x:v>4</x:v>
      </x:c>
      <x:c r="H20" s="15" t="n">
        <x:v>5</x:v>
      </x:c>
      <x:c r="I20" s="15" t="n">
        <x:v>4</x:v>
      </x:c>
      <x:c r="J20" s="15" t="n">
        <x:v>2</x:v>
      </x:c>
      <x:c r="K20" s="15" t="n">
        <x:v>8</x:v>
      </x:c>
      <x:c r="L20" s="19" t="n">
        <x:f>MAX(1,MIN(J20,1+INT((K20-2)/3)))</x:f>
        <x:v>2</x:v>
      </x:c>
      <x:c r="M20" s="15" t="n">
        <x:v>380</x:v>
      </x:c>
      <x:c r="N20" s="15" t="n">
        <x:v>14</x:v>
      </x:c>
      <x:c r="O20" s="16" t="n">
        <x:v>1680</x:v>
      </x:c>
      <x:c r="P20" s="19" t="n">
        <x:f>IF(Q20=1,0,ROUNDUP((M20+O20*'来源说明'!$B$6+'来源说明'!$B$7*(L20-1)^1.5)/10,0)*10)</x:f>
        <x:v>1510</x:v>
      </x:c>
      <x:c r="Q20" s="16" t="n">
        <x:v>0</x:v>
      </x:c>
    </x:row>
    <x:row r="21" ht="25" customHeight="1">
      <x:c r="A21" s="3" t="str">
        <x:v>大鹅</x:v>
      </x:c>
      <x:c r="B21" s="3" t="str">
        <x:v>dae</x:v>
      </x:c>
      <x:c r="C21" s="3" t="str">
        <x:v>刀二蓝队</x:v>
      </x:c>
      <x:c r="D21" s="3" t="str">
        <x:v>侧翼防远程盾卫</x:v>
      </x:c>
      <x:c r="E21" s="15" t="n">
        <x:v>24</x:v>
      </x:c>
      <x:c r="F21" s="15" t="n">
        <x:v>10</x:v>
      </x:c>
      <x:c r="G21" s="15" t="n">
        <x:v>4</x:v>
      </x:c>
      <x:c r="H21" s="15" t="n">
        <x:v>5</x:v>
      </x:c>
      <x:c r="I21" s="15" t="n">
        <x:v>4</x:v>
      </x:c>
      <x:c r="J21" s="15" t="n">
        <x:v>1</x:v>
      </x:c>
      <x:c r="K21" s="15" t="n">
        <x:v>8</x:v>
      </x:c>
      <x:c r="L21" s="19" t="n">
        <x:f>MAX(1,MIN(J21,1+INT((K21-2)/3)))</x:f>
        <x:v>1</x:v>
      </x:c>
      <x:c r="M21" s="15" t="n">
        <x:v>320</x:v>
      </x:c>
      <x:c r="N21" s="15" t="n">
        <x:v>13</x:v>
      </x:c>
      <x:c r="O21" s="17" t="n">
        <x:v>580</x:v>
      </x:c>
      <x:c r="P21" s="19" t="n">
        <x:f>IF(Q21=1,0,ROUNDUP((M21+O21*'来源说明'!$B$6+'来源说明'!$B$7*(L21-1)^1.5)/10,0)*10)</x:f>
        <x:v>670</x:v>
      </x:c>
      <x:c r="Q21" s="17" t="n">
        <x:v>0</x:v>
      </x:c>
    </x:row>
    <x:row r="22" ht="25" customHeight="1">
      <x:c r="A22" s="10" t="str">
        <x:v>蔓越莓</x:v>
      </x:c>
      <x:c r="B22" s="10" t="str">
        <x:v>manyuemei</x:v>
      </x:c>
      <x:c r="C22" s="10" t="str">
        <x:v>刀二蓝队</x:v>
      </x:c>
      <x:c r="D22" s="10" t="str">
        <x:v>集火投掷手</x:v>
      </x:c>
      <x:c r="E22" s="15" t="n">
        <x:v>32</x:v>
      </x:c>
      <x:c r="F22" s="15" t="n">
        <x:v>13</x:v>
      </x:c>
      <x:c r="G22" s="15" t="n">
        <x:v>5</x:v>
      </x:c>
      <x:c r="H22" s="15" t="n">
        <x:v>6</x:v>
      </x:c>
      <x:c r="I22" s="15" t="n">
        <x:v>5</x:v>
      </x:c>
      <x:c r="J22" s="15" t="n">
        <x:v>2</x:v>
      </x:c>
      <x:c r="K22" s="15" t="n">
        <x:v>8</x:v>
      </x:c>
      <x:c r="L22" s="19" t="n">
        <x:f>MAX(1,MIN(J22,1+INT((K22-2)/3)))</x:f>
        <x:v>2</x:v>
      </x:c>
      <x:c r="M22" s="15" t="n">
        <x:v>400</x:v>
      </x:c>
      <x:c r="N22" s="15" t="n">
        <x:v>14</x:v>
      </x:c>
      <x:c r="O22" s="16" t="n">
        <x:v>1080</x:v>
      </x:c>
      <x:c r="P22" s="19" t="n">
        <x:f>IF(Q22=1,0,ROUNDUP((M22+O22*'来源说明'!$B$6+'来源说明'!$B$7*(L22-1)^1.5)/10,0)*10)</x:f>
        <x:v>1170</x:v>
      </x:c>
      <x:c r="Q22" s="16" t="n">
        <x:v>0</x:v>
      </x:c>
    </x:row>
    <x:row r="23" ht="25" customHeight="1">
      <x:c r="A23" s="3" t="str">
        <x:v>罗一可</x:v>
      </x:c>
      <x:c r="B23" s="3" t="str">
        <x:v>xiaohani</x:v>
      </x:c>
      <x:c r="C23" s="3" t="str">
        <x:v>刀二蓝队</x:v>
      </x:c>
      <x:c r="D23" s="3" t="str">
        <x:v>轻装贴身辅助</x:v>
      </x:c>
      <x:c r="E23" s="15" t="n">
        <x:v>30</x:v>
      </x:c>
      <x:c r="F23" s="15" t="n">
        <x:v>12</x:v>
      </x:c>
      <x:c r="G23" s="15" t="n">
        <x:v>4</x:v>
      </x:c>
      <x:c r="H23" s="15" t="n">
        <x:v>6</x:v>
      </x:c>
      <x:c r="I23" s="15" t="n">
        <x:v>5</x:v>
      </x:c>
      <x:c r="J23" s="15" t="n">
        <x:v>2</x:v>
      </x:c>
      <x:c r="K23" s="15" t="n">
        <x:v>8</x:v>
      </x:c>
      <x:c r="L23" s="19" t="n">
        <x:f>MAX(1,MIN(J23,1+INT((K23-2)/3)))</x:f>
        <x:v>2</x:v>
      </x:c>
      <x:c r="M23" s="15" t="n">
        <x:v>220</x:v>
      </x:c>
      <x:c r="N23" s="15" t="n">
        <x:v>11</x:v>
      </x:c>
      <x:c r="O23" s="17" t="n">
        <x:v>1180</x:v>
      </x:c>
      <x:c r="P23" s="19" t="n">
        <x:f>IF(Q23=1,0,ROUNDUP((M23+O23*'来源说明'!$B$6+'来源说明'!$B$7*(L23-1)^1.5)/10,0)*10)</x:f>
        <x:v>1050</x:v>
      </x:c>
      <x:c r="Q23" s="17" t="n">
        <x:v>0</x:v>
      </x:c>
    </x:row>
    <x:row r="24" ht="25" customHeight="1">
      <x:c r="A24" s="10" t="str">
        <x:v>可可</x:v>
      </x:c>
      <x:c r="B24" s="10" t="str">
        <x:v>keke</x:v>
      </x:c>
      <x:c r="C24" s="10" t="str">
        <x:v>0.5DFW猪团</x:v>
      </x:c>
      <x:c r="D24" s="10" t="str">
        <x:v>贴身保护盾卫</x:v>
      </x:c>
      <x:c r="E24" s="15" t="n">
        <x:v>34</x:v>
      </x:c>
      <x:c r="F24" s="15" t="n">
        <x:v>14</x:v>
      </x:c>
      <x:c r="G24" s="15" t="n">
        <x:v>5</x:v>
      </x:c>
      <x:c r="H24" s="15" t="n">
        <x:v>6</x:v>
      </x:c>
      <x:c r="I24" s="15" t="n">
        <x:v>5</x:v>
      </x:c>
      <x:c r="J24" s="15" t="n">
        <x:v>2</x:v>
      </x:c>
      <x:c r="K24" s="15" t="n">
        <x:v>8</x:v>
      </x:c>
      <x:c r="L24" s="19" t="n">
        <x:f>MAX(1,MIN(J24,1+INT((K24-2)/3)))</x:f>
        <x:v>2</x:v>
      </x:c>
      <x:c r="M24" s="15" t="n">
        <x:v>360</x:v>
      </x:c>
      <x:c r="N24" s="15" t="n">
        <x:v>14</x:v>
      </x:c>
      <x:c r="O24" s="16" t="n">
        <x:v>960</x:v>
      </x:c>
      <x:c r="P24" s="19" t="n">
        <x:f>IF(Q24=1,0,ROUNDUP((M24+O24*'来源说明'!$B$6+'来源说明'!$B$7*(L24-1)^1.5)/10,0)*10)</x:f>
        <x:v>1060</x:v>
      </x:c>
      <x:c r="Q24" s="16" t="n">
        <x:v>0</x:v>
      </x:c>
    </x:row>
    <x:row r="25" ht="25" customHeight="1">
      <x:c r="A25" s="3" t="str">
        <x:v>余想</x:v>
      </x:c>
      <x:c r="B25" s="3" t="str">
        <x:v>yuxiang</x:v>
      </x:c>
      <x:c r="C25" s="3" t="str">
        <x:v>0.5DFW猪团</x:v>
      </x:c>
      <x:c r="D25" s="3" t="str">
        <x:v>长柄持续输出</x:v>
      </x:c>
      <x:c r="E25" s="15" t="n">
        <x:v>36</x:v>
      </x:c>
      <x:c r="F25" s="15" t="n">
        <x:v>15</x:v>
      </x:c>
      <x:c r="G25" s="15" t="n">
        <x:v>5</x:v>
      </x:c>
      <x:c r="H25" s="15" t="n">
        <x:v>6</x:v>
      </x:c>
      <x:c r="I25" s="15" t="n">
        <x:v>5</x:v>
      </x:c>
      <x:c r="J25" s="15" t="n">
        <x:v>2</x:v>
      </x:c>
      <x:c r="K25" s="15" t="n">
        <x:v>8</x:v>
      </x:c>
      <x:c r="L25" s="19" t="n">
        <x:f>MAX(1,MIN(J25,1+INT((K25-2)/3)))</x:f>
        <x:v>2</x:v>
      </x:c>
      <x:c r="M25" s="15" t="n">
        <x:v>380</x:v>
      </x:c>
      <x:c r="N25" s="15" t="n">
        <x:v>14</x:v>
      </x:c>
      <x:c r="O25" s="17" t="n">
        <x:v>1080</x:v>
      </x:c>
      <x:c r="P25" s="19" t="n">
        <x:f>IF(Q25=1,0,ROUNDUP((M25+O25*'来源说明'!$B$6+'来源说明'!$B$7*(L25-1)^1.5)/10,0)*10)</x:f>
        <x:v>1150</x:v>
      </x:c>
      <x:c r="Q25" s="17" t="n">
        <x:v>0</x:v>
      </x:c>
    </x:row>
    <x:row r="26" ht="25" customHeight="1">
      <x:c r="A26" s="10" t="str">
        <x:v>童猪</x:v>
      </x:c>
      <x:c r="B26" s="10" t="str">
        <x:v>tongzhu</x:v>
      </x:c>
      <x:c r="C26" s="10" t="str">
        <x:v>0.5DFW猪团</x:v>
      </x:c>
      <x:c r="D26" s="10" t="str">
        <x:v>士气旗手与软控</x:v>
      </x:c>
      <x:c r="E26" s="15" t="n">
        <x:v>38</x:v>
      </x:c>
      <x:c r="F26" s="15" t="n">
        <x:v>16</x:v>
      </x:c>
      <x:c r="G26" s="15" t="n">
        <x:v>6</x:v>
      </x:c>
      <x:c r="H26" s="15" t="n">
        <x:v>6</x:v>
      </x:c>
      <x:c r="I26" s="15" t="n">
        <x:v>5</x:v>
      </x:c>
      <x:c r="J26" s="15" t="n">
        <x:v>2</x:v>
      </x:c>
      <x:c r="K26" s="15" t="n">
        <x:v>8</x:v>
      </x:c>
      <x:c r="L26" s="19" t="n">
        <x:f>MAX(1,MIN(J26,1+INT((K26-2)/3)))</x:f>
        <x:v>2</x:v>
      </x:c>
      <x:c r="M26" s="15" t="n">
        <x:v>300</x:v>
      </x:c>
      <x:c r="N26" s="15" t="n">
        <x:v>12</x:v>
      </x:c>
      <x:c r="O26" s="16" t="n">
        <x:v>1080</x:v>
      </x:c>
      <x:c r="P26" s="19" t="n">
        <x:f>IF(Q26=1,0,ROUNDUP((M26+O26*'来源说明'!$B$6+'来源说明'!$B$7*(L26-1)^1.5)/10,0)*10)</x:f>
        <x:v>1070</x:v>
      </x:c>
      <x:c r="Q26" s="16" t="n">
        <x:v>0</x:v>
      </x:c>
    </x:row>
    <x:row r="27" ht="25" customHeight="1">
      <x:c r="A27" s="3" t="str">
        <x:v>美伢</x:v>
      </x:c>
      <x:c r="B27" s="3" t="str">
        <x:v>meiya</x:v>
      </x:c>
      <x:c r="C27" s="3" t="str">
        <x:v>0.5DFW猪团</x:v>
      </x:c>
      <x:c r="D27" s="3" t="str">
        <x:v>轻装位移决斗</x:v>
      </x:c>
      <x:c r="E27" s="15" t="n">
        <x:v>40</x:v>
      </x:c>
      <x:c r="F27" s="15" t="n">
        <x:v>16</x:v>
      </x:c>
      <x:c r="G27" s="15" t="n">
        <x:v>6</x:v>
      </x:c>
      <x:c r="H27" s="15" t="n">
        <x:v>7</x:v>
      </x:c>
      <x:c r="I27" s="15" t="n">
        <x:v>6</x:v>
      </x:c>
      <x:c r="J27" s="15" t="n">
        <x:v>2</x:v>
      </x:c>
      <x:c r="K27" s="15" t="n">
        <x:v>8</x:v>
      </x:c>
      <x:c r="L27" s="19" t="n">
        <x:f>MAX(1,MIN(J27,1+INT((K27-2)/3)))</x:f>
        <x:v>2</x:v>
      </x:c>
      <x:c r="M27" s="15" t="n">
        <x:v>400</x:v>
      </x:c>
      <x:c r="N27" s="15" t="n">
        <x:v>14</x:v>
      </x:c>
      <x:c r="O27" s="17" t="n">
        <x:v>1180</x:v>
      </x:c>
      <x:c r="P27" s="19" t="n">
        <x:f>IF(Q27=1,0,ROUNDUP((M27+O27*'来源说明'!$B$6+'来源说明'!$B$7*(L27-1)^1.5)/10,0)*10)</x:f>
        <x:v>1230</x:v>
      </x:c>
      <x:c r="Q27" s="17" t="n">
        <x:v>0</x:v>
      </x:c>
    </x:row>
    <x:row r="28" ht="25" customHeight="1">
      <x:c r="A28" s="10" t="str">
        <x:v>玩蛇</x:v>
      </x:c>
      <x:c r="B28" s="10" t="str">
        <x:v>wanshe</x:v>
      </x:c>
      <x:c r="C28" s="10" t="str">
        <x:v>0.5DFW猪团</x:v>
      </x:c>
      <x:c r="D28" s="10" t="str">
        <x:v>单手反制决斗</x:v>
      </x:c>
      <x:c r="E28" s="15" t="n">
        <x:v>42</x:v>
      </x:c>
      <x:c r="F28" s="15" t="n">
        <x:v>18</x:v>
      </x:c>
      <x:c r="G28" s="15" t="n">
        <x:v>6</x:v>
      </x:c>
      <x:c r="H28" s="15" t="n">
        <x:v>7</x:v>
      </x:c>
      <x:c r="I28" s="15" t="n">
        <x:v>6</x:v>
      </x:c>
      <x:c r="J28" s="15" t="n">
        <x:v>2</x:v>
      </x:c>
      <x:c r="K28" s="15" t="n">
        <x:v>8</x:v>
      </x:c>
      <x:c r="L28" s="19" t="n">
        <x:f>MAX(1,MIN(J28,1+INT((K28-2)/3)))</x:f>
        <x:v>2</x:v>
      </x:c>
      <x:c r="M28" s="15" t="n">
        <x:v>480</x:v>
      </x:c>
      <x:c r="N28" s="15" t="n">
        <x:v>15</x:v>
      </x:c>
      <x:c r="O28" s="16" t="n">
        <x:v>1280</x:v>
      </x:c>
      <x:c r="P28" s="19" t="n">
        <x:f>IF(Q28=1,0,ROUNDUP((M28+O28*'来源说明'!$B$6+'来源说明'!$B$7*(L28-1)^1.5)/10,0)*10)</x:f>
        <x:v>1370</x:v>
      </x:c>
      <x:c r="Q28" s="16" t="n">
        <x:v>0</x:v>
      </x:c>
    </x:row>
    <x:row r="29" ht="25" customHeight="1">
      <x:c r="A29" s="3" t="str">
        <x:v>涂涂</x:v>
      </x:c>
      <x:c r="B29" s="3" t="str">
        <x:v>tutu</x:v>
      </x:c>
      <x:c r="C29" s="3" t="str">
        <x:v>0.5DFW猪团</x:v>
      </x:c>
      <x:c r="D29" s="3" t="str">
        <x:v>救援旗手</x:v>
      </x:c>
      <x:c r="E29" s="15" t="n">
        <x:v>44</x:v>
      </x:c>
      <x:c r="F29" s="15" t="n">
        <x:v>18</x:v>
      </x:c>
      <x:c r="G29" s="15" t="n">
        <x:v>7</x:v>
      </x:c>
      <x:c r="H29" s="15" t="n">
        <x:v>7</x:v>
      </x:c>
      <x:c r="I29" s="15" t="n">
        <x:v>6</x:v>
      </x:c>
      <x:c r="J29" s="15" t="n">
        <x:v>2</x:v>
      </x:c>
      <x:c r="K29" s="15" t="n">
        <x:v>8</x:v>
      </x:c>
      <x:c r="L29" s="19" t="n">
        <x:f>MAX(1,MIN(J29,1+INT((K29-2)/3)))</x:f>
        <x:v>2</x:v>
      </x:c>
      <x:c r="M29" s="15" t="n">
        <x:v>240</x:v>
      </x:c>
      <x:c r="N29" s="15" t="n">
        <x:v>12</x:v>
      </x:c>
      <x:c r="O29" s="17" t="n">
        <x:v>1080</x:v>
      </x:c>
      <x:c r="P29" s="19" t="n">
        <x:f>IF(Q29=1,0,ROUNDUP((M29+O29*'来源说明'!$B$6+'来源说明'!$B$7*(L29-1)^1.5)/10,0)*10)</x:f>
        <x:v>1010</x:v>
      </x:c>
      <x:c r="Q29" s="17" t="n">
        <x:v>0</x:v>
      </x:c>
    </x:row>
    <x:row r="30" ht="25" customHeight="1">
      <x:c r="A30" s="10" t="str">
        <x:v>奶盖</x:v>
      </x:c>
      <x:c r="B30" s="10" t="str">
        <x:v>naigai</x:v>
      </x:c>
      <x:c r="C30" s="10" t="str">
        <x:v>0.5DFW猪团</x:v>
      </x:c>
      <x:c r="D30" s="10" t="str">
        <x:v>嘲讽盾卫兼副投掷</x:v>
      </x:c>
      <x:c r="E30" s="15" t="n">
        <x:v>45</x:v>
      </x:c>
      <x:c r="F30" s="15" t="n">
        <x:v>19</x:v>
      </x:c>
      <x:c r="G30" s="15" t="n">
        <x:v>7</x:v>
      </x:c>
      <x:c r="H30" s="15" t="n">
        <x:v>7</x:v>
      </x:c>
      <x:c r="I30" s="15" t="n">
        <x:v>6</x:v>
      </x:c>
      <x:c r="J30" s="15" t="n">
        <x:v>2</x:v>
      </x:c>
      <x:c r="K30" s="15" t="n">
        <x:v>8</x:v>
      </x:c>
      <x:c r="L30" s="19" t="n">
        <x:f>MAX(1,MIN(J30,1+INT((K30-2)/3)))</x:f>
        <x:v>2</x:v>
      </x:c>
      <x:c r="M30" s="15" t="n">
        <x:v>200</x:v>
      </x:c>
      <x:c r="N30" s="15" t="n">
        <x:v>11</x:v>
      </x:c>
      <x:c r="O30" s="16" t="n">
        <x:v>1180</x:v>
      </x:c>
      <x:c r="P30" s="19" t="n">
        <x:f>IF(Q30=1,0,ROUNDUP((M30+O30*'来源说明'!$B$6+'来源说明'!$B$7*(L30-1)^1.5)/10,0)*10)</x:f>
        <x:v>1030</x:v>
      </x:c>
      <x:c r="Q30" s="16" t="n">
        <x:v>0</x:v>
      </x:c>
    </x:row>
    <x:row r="31" ht="25" customHeight="1">
      <x:c r="A31" s="3" t="str">
        <x:v>小杰</x:v>
      </x:c>
      <x:c r="B31" s="3" t="str">
        <x:v>xiaojie</x:v>
      </x:c>
      <x:c r="C31" s="3" t="str">
        <x:v>0.5DFW猪团</x:v>
      </x:c>
      <x:c r="D31" s="3" t="str">
        <x:v>解网与近战工具位</x:v>
      </x:c>
      <x:c r="E31" s="15" t="n">
        <x:v>48</x:v>
      </x:c>
      <x:c r="F31" s="15" t="n">
        <x:v>20</x:v>
      </x:c>
      <x:c r="G31" s="15" t="n">
        <x:v>7</x:v>
      </x:c>
      <x:c r="H31" s="15" t="n">
        <x:v>7</x:v>
      </x:c>
      <x:c r="I31" s="15" t="n">
        <x:v>6</x:v>
      </x:c>
      <x:c r="J31" s="15" t="n">
        <x:v>3</x:v>
      </x:c>
      <x:c r="K31" s="15" t="n">
        <x:v>8</x:v>
      </x:c>
      <x:c r="L31" s="19" t="n">
        <x:f>MAX(1,MIN(J31,1+INT((K31-2)/3)))</x:f>
        <x:v>3</x:v>
      </x:c>
      <x:c r="M31" s="15" t="n">
        <x:v>260</x:v>
      </x:c>
      <x:c r="N31" s="15" t="n">
        <x:v>12</x:v>
      </x:c>
      <x:c r="O31" s="17" t="n">
        <x:v>900</x:v>
      </x:c>
      <x:c r="P31" s="19" t="n">
        <x:f>IF(Q31=1,0,ROUNDUP((M31+O31*'来源说明'!$B$6+'来源说明'!$B$7*(L31-1)^1.5)/10,0)*10)</x:f>
        <x:v>1140</x:v>
      </x:c>
      <x:c r="Q31" s="17" t="n">
        <x:v>0</x:v>
      </x:c>
    </x:row>
    <x:row r="32" ht="25" customHeight="1">
      <x:c r="A32" s="10" t="str">
        <x:v>bula</x:v>
      </x:c>
      <x:c r="B32" s="10" t="str">
        <x:v>bula</x:v>
      </x:c>
      <x:c r="C32" s="10" t="str">
        <x:v>0.5DFW猪团</x:v>
      </x:c>
      <x:c r="D32" s="10" t="str">
        <x:v>投掷与军需补位</x:v>
      </x:c>
      <x:c r="E32" s="15" t="n">
        <x:v>50</x:v>
      </x:c>
      <x:c r="F32" s="15" t="n">
        <x:v>21</x:v>
      </x:c>
      <x:c r="G32" s="15" t="n">
        <x:v>8</x:v>
      </x:c>
      <x:c r="H32" s="15" t="n">
        <x:v>8</x:v>
      </x:c>
      <x:c r="I32" s="15" t="n">
        <x:v>7</x:v>
      </x:c>
      <x:c r="J32" s="15" t="n">
        <x:v>3</x:v>
      </x:c>
      <x:c r="K32" s="15" t="n">
        <x:v>8</x:v>
      </x:c>
      <x:c r="L32" s="19" t="n">
        <x:f>MAX(1,MIN(J32,1+INT((K32-2)/3)))</x:f>
        <x:v>3</x:v>
      </x:c>
      <x:c r="M32" s="15" t="n">
        <x:v>250</x:v>
      </x:c>
      <x:c r="N32" s="15" t="n">
        <x:v>11</x:v>
      </x:c>
      <x:c r="O32" s="16" t="n">
        <x:v>1080</x:v>
      </x:c>
      <x:c r="P32" s="19" t="n">
        <x:f>IF(Q32=1,0,ROUNDUP((M32+O32*'来源说明'!$B$6+'来源说明'!$B$7*(L32-1)^1.5)/10,0)*10)</x:f>
        <x:v>1240</x:v>
      </x:c>
      <x:c r="Q32" s="16" t="n">
        <x:v>0</x:v>
      </x:c>
    </x:row>
    <x:row r="33" ht="25" customHeight="1">
      <x:c r="A33" s="3" t="str">
        <x:v>苏袜</x:v>
      </x:c>
      <x:c r="B33" s="3" t="str">
        <x:v>suwa</x:v>
      </x:c>
      <x:c r="C33" s="3" t="str">
        <x:v>0.5DFW猪团</x:v>
      </x:c>
      <x:c r="D33" s="3" t="str">
        <x:v>先攻牵制决斗</x:v>
      </x:c>
      <x:c r="E33" s="15" t="n">
        <x:v>52</x:v>
      </x:c>
      <x:c r="F33" s="15" t="n">
        <x:v>22</x:v>
      </x:c>
      <x:c r="G33" s="15" t="n">
        <x:v>8</x:v>
      </x:c>
      <x:c r="H33" s="15" t="n">
        <x:v>8</x:v>
      </x:c>
      <x:c r="I33" s="15" t="n">
        <x:v>7</x:v>
      </x:c>
      <x:c r="J33" s="15" t="n">
        <x:v>3</x:v>
      </x:c>
      <x:c r="K33" s="15" t="n">
        <x:v>8</x:v>
      </x:c>
      <x:c r="L33" s="19" t="n">
        <x:f>MAX(1,MIN(J33,1+INT((K33-2)/3)))</x:f>
        <x:v>3</x:v>
      </x:c>
      <x:c r="M33" s="15" t="n">
        <x:v>450</x:v>
      </x:c>
      <x:c r="N33" s="15" t="n">
        <x:v>14</x:v>
      </x:c>
      <x:c r="O33" s="17" t="n">
        <x:v>1180</x:v>
      </x:c>
      <x:c r="P33" s="19" t="n">
        <x:f>IF(Q33=1,0,ROUNDUP((M33+O33*'来源说明'!$B$6+'来源说明'!$B$7*(L33-1)^1.5)/10,0)*10)</x:f>
        <x:v>1500</x:v>
      </x:c>
      <x:c r="Q33" s="17" t="n">
        <x:v>0</x:v>
      </x:c>
    </x:row>
    <x:row r="34" ht="25" customHeight="1">
      <x:c r="A34" s="10" t="str">
        <x:v>千涵</x:v>
      </x:c>
      <x:c r="B34" s="10" t="str">
        <x:v>qianhan</x:v>
      </x:c>
      <x:c r="C34" s="10" t="str">
        <x:v>0.5DFW猪团</x:v>
      </x:c>
      <x:c r="D34" s="10" t="str">
        <x:v>突进矛兵</x:v>
      </x:c>
      <x:c r="E34" s="15" t="n">
        <x:v>54</x:v>
      </x:c>
      <x:c r="F34" s="15" t="n">
        <x:v>23</x:v>
      </x:c>
      <x:c r="G34" s="15" t="n">
        <x:v>8</x:v>
      </x:c>
      <x:c r="H34" s="15" t="n">
        <x:v>8</x:v>
      </x:c>
      <x:c r="I34" s="15" t="n">
        <x:v>7</x:v>
      </x:c>
      <x:c r="J34" s="15" t="n">
        <x:v>3</x:v>
      </x:c>
      <x:c r="K34" s="15" t="n">
        <x:v>8</x:v>
      </x:c>
      <x:c r="L34" s="19" t="n">
        <x:f>MAX(1,MIN(J34,1+INT((K34-2)/3)))</x:f>
        <x:v>3</x:v>
      </x:c>
      <x:c r="M34" s="15" t="n">
        <x:v>420</x:v>
      </x:c>
      <x:c r="N34" s="15" t="n">
        <x:v>14</x:v>
      </x:c>
      <x:c r="O34" s="16" t="n">
        <x:v>1530</x:v>
      </x:c>
      <x:c r="P34" s="19" t="n">
        <x:f>IF(Q34=1,0,ROUNDUP((M34+O34*'来源说明'!$B$6+'来源说明'!$B$7*(L34-1)^1.5)/10,0)*10)</x:f>
        <x:v>1680</x:v>
      </x:c>
      <x:c r="Q34" s="16" t="n">
        <x:v>0</x:v>
      </x:c>
    </x:row>
    <x:row r="35" ht="25" customHeight="1">
      <x:c r="A35" s="3" t="str">
        <x:v>王大芷</x:v>
      </x:c>
      <x:c r="B35" s="3" t="str">
        <x:v>wangdazhi</x:v>
      </x:c>
      <x:c r="C35" s="3" t="str">
        <x:v>0.5DFW猪团</x:v>
      </x:c>
      <x:c r="D35" s="3" t="str">
        <x:v>站位防线盾卫</x:v>
      </x:c>
      <x:c r="E35" s="15" t="n">
        <x:v>56</x:v>
      </x:c>
      <x:c r="F35" s="15" t="n">
        <x:v>24</x:v>
      </x:c>
      <x:c r="G35" s="15" t="n">
        <x:v>9</x:v>
      </x:c>
      <x:c r="H35" s="15" t="n">
        <x:v>8</x:v>
      </x:c>
      <x:c r="I35" s="15" t="n">
        <x:v>7</x:v>
      </x:c>
      <x:c r="J35" s="15" t="n">
        <x:v>3</x:v>
      </x:c>
      <x:c r="K35" s="15" t="n">
        <x:v>8</x:v>
      </x:c>
      <x:c r="L35" s="19" t="n">
        <x:f>MAX(1,MIN(J35,1+INT((K35-2)/3)))</x:f>
        <x:v>3</x:v>
      </x:c>
      <x:c r="M35" s="15" t="n">
        <x:v>380</x:v>
      </x:c>
      <x:c r="N35" s="15" t="n">
        <x:v>14</x:v>
      </x:c>
      <x:c r="O35" s="17" t="n">
        <x:v>960</x:v>
      </x:c>
      <x:c r="P35" s="19" t="n">
        <x:f>IF(Q35=1,0,ROUNDUP((M35+O35*'来源说明'!$B$6+'来源说明'!$B$7*(L35-1)^1.5)/10,0)*10)</x:f>
        <x:v>1300</x:v>
      </x:c>
      <x:c r="Q35" s="17" t="n">
        <x:v>0</x:v>
      </x:c>
    </x:row>
    <x:row r="36" ht="25" customHeight="1">
      <x:c r="A36" s="10" t="str">
        <x:v>瑶瑶牙</x:v>
      </x:c>
      <x:c r="B36" s="10" t="str">
        <x:v>yaoyaoya</x:v>
      </x:c>
      <x:c r="C36" s="10" t="str">
        <x:v>0.5DFW猪团</x:v>
      </x:c>
      <x:c r="D36" s="10" t="str">
        <x:v>低先攻破甲双手斧</x:v>
      </x:c>
      <x:c r="E36" s="15" t="n">
        <x:v>60</x:v>
      </x:c>
      <x:c r="F36" s="15" t="n">
        <x:v>26</x:v>
      </x:c>
      <x:c r="G36" s="15" t="n">
        <x:v>9</x:v>
      </x:c>
      <x:c r="H36" s="15" t="n">
        <x:v>8</x:v>
      </x:c>
      <x:c r="I36" s="15" t="n">
        <x:v>8</x:v>
      </x:c>
      <x:c r="J36" s="15" t="n">
        <x:v>3</x:v>
      </x:c>
      <x:c r="K36" s="15" t="n">
        <x:v>8</x:v>
      </x:c>
      <x:c r="L36" s="19" t="n">
        <x:f>MAX(1,MIN(J36,1+INT((K36-2)/3)))</x:f>
        <x:v>3</x:v>
      </x:c>
      <x:c r="M36" s="15" t="n">
        <x:v>550</x:v>
      </x:c>
      <x:c r="N36" s="15" t="n">
        <x:v>16</x:v>
      </x:c>
      <x:c r="O36" s="16" t="n">
        <x:v>1080</x:v>
      </x:c>
      <x:c r="P36" s="19" t="n">
        <x:f>IF(Q36=1,0,ROUNDUP((M36+O36*'来源说明'!$B$6+'来源说明'!$B$7*(L36-1)^1.5)/10,0)*10)</x:f>
        <x:v>1540</x:v>
      </x:c>
      <x:c r="Q36" s="16" t="n">
        <x:v>0</x:v>
      </x:c>
    </x:row>
    <x:row r="37" ht="25" customHeight="1">
      <x:c r="A37" s="3" t="str">
        <x:v>羊咩咩</x:v>
      </x:c>
      <x:c r="B37" s="3" t="str">
        <x:v>yangmiemie</x:v>
      </x:c>
      <x:c r="C37" s="3" t="str">
        <x:v>0.5DFW猪团</x:v>
      </x:c>
      <x:c r="D37" s="3" t="str">
        <x:v>救援长柄与侧翼补位</x:v>
      </x:c>
      <x:c r="E37" s="15" t="n">
        <x:v>58</x:v>
      </x:c>
      <x:c r="F37" s="15" t="n">
        <x:v>25</x:v>
      </x:c>
      <x:c r="G37" s="15" t="n">
        <x:v>9</x:v>
      </x:c>
      <x:c r="H37" s="15" t="n">
        <x:v>8</x:v>
      </x:c>
      <x:c r="I37" s="15" t="n">
        <x:v>7</x:v>
      </x:c>
      <x:c r="J37" s="15" t="n">
        <x:v>3</x:v>
      </x:c>
      <x:c r="K37" s="15" t="n">
        <x:v>8</x:v>
      </x:c>
      <x:c r="L37" s="19" t="n">
        <x:f>MAX(1,MIN(J37,1+INT((K37-2)/3)))</x:f>
        <x:v>3</x:v>
      </x:c>
      <x:c r="M37" s="15" t="n">
        <x:v>280</x:v>
      </x:c>
      <x:c r="N37" s="15" t="n">
        <x:v>12</x:v>
      </x:c>
      <x:c r="O37" s="17" t="n">
        <x:v>1080</x:v>
      </x:c>
      <x:c r="P37" s="19" t="n">
        <x:f>IF(Q37=1,0,ROUNDUP((M37+O37*'来源说明'!$B$6+'来源说明'!$B$7*(L37-1)^1.5)/10,0)*10)</x:f>
        <x:v>1270</x:v>
      </x:c>
      <x:c r="Q37" s="17" t="n">
        <x:v>0</x:v>
      </x:c>
    </x:row>
    <x:row r="38" ht="25" customHeight="1">
      <x:c r="A38" s="10" t="str">
        <x:v>宋暖阳</x:v>
      </x:c>
      <x:c r="B38" s="10" t="str">
        <x:v>songnuanyang</x:v>
      </x:c>
      <x:c r="C38" s="10" t="str">
        <x:v>旅途来客</x:v>
      </x:c>
      <x:c r="D38" s="10" t="str">
        <x:v>中期通用救火队员</x:v>
      </x:c>
      <x:c r="E38" s="15" t="n">
        <x:v>28</x:v>
      </x:c>
      <x:c r="F38" s="15" t="n">
        <x:v>11</x:v>
      </x:c>
      <x:c r="G38" s="15" t="n">
        <x:v>4</x:v>
      </x:c>
      <x:c r="H38" s="15" t="n">
        <x:v>5</x:v>
      </x:c>
      <x:c r="I38" s="15" t="n">
        <x:v>4</x:v>
      </x:c>
      <x:c r="J38" s="15" t="n">
        <x:v>2</x:v>
      </x:c>
      <x:c r="K38" s="15" t="n">
        <x:v>8</x:v>
      </x:c>
      <x:c r="L38" s="19" t="n">
        <x:f>MAX(1,MIN(J38,1+INT((K38-2)/3)))</x:f>
        <x:v>2</x:v>
      </x:c>
      <x:c r="M38" s="15" t="n">
        <x:v>230</x:v>
      </x:c>
      <x:c r="N38" s="15" t="n">
        <x:v>12</x:v>
      </x:c>
      <x:c r="O38" s="16" t="n">
        <x:v>1280</x:v>
      </x:c>
      <x:c r="P38" s="19" t="n">
        <x:f>IF(Q38=1,0,ROUNDUP((M38+O38*'来源说明'!$B$6+'来源说明'!$B$7*(L38-1)^1.5)/10,0)*10)</x:f>
        <x:v>1120</x:v>
      </x:c>
      <x:c r="Q38" s="16" t="n">
        <x:v>0</x:v>
      </x:c>
    </x:row>
    <x:row r="39" ht="25" customHeight="1">
      <x:c r="A39" s="3" t="str">
        <x:v>溺水小龟</x:v>
      </x:c>
      <x:c r="B39" s="3" t="str">
        <x:v>xiaogui</x:v>
      </x:c>
      <x:c r="C39" s="3" t="str">
        <x:v>旅途来客</x:v>
      </x:c>
      <x:c r="D39" s="3" t="str">
        <x:v>无头盔特化盾卫</x:v>
      </x:c>
      <x:c r="E39" s="15" t="n">
        <x:v>46</x:v>
      </x:c>
      <x:c r="F39" s="15" t="n">
        <x:v>20</x:v>
      </x:c>
      <x:c r="G39" s="15" t="n">
        <x:v>7</x:v>
      </x:c>
      <x:c r="H39" s="15" t="n">
        <x:v>7</x:v>
      </x:c>
      <x:c r="I39" s="15" t="n">
        <x:v>6</x:v>
      </x:c>
      <x:c r="J39" s="15" t="n">
        <x:v>3</x:v>
      </x:c>
      <x:c r="K39" s="15" t="n">
        <x:v>8</x:v>
      </x:c>
      <x:c r="L39" s="19" t="n">
        <x:f>MAX(1,MIN(J39,1+INT((K39-2)/3)))</x:f>
        <x:v>3</x:v>
      </x:c>
      <x:c r="M39" s="15" t="n">
        <x:v>500</x:v>
      </x:c>
      <x:c r="N39" s="15" t="n">
        <x:v>16</x:v>
      </x:c>
      <x:c r="O39" s="17" t="n">
        <x:v>610</x:v>
      </x:c>
      <x:c r="P39" s="19" t="n">
        <x:f>IF(Q39=1,0,ROUNDUP((M39+O39*'来源说明'!$B$6+'来源说明'!$B$7*(L39-1)^1.5)/10,0)*10)</x:f>
        <x:v>1210</x:v>
      </x:c>
      <x:c r="Q39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c3dd3ae98945f9"/>
  </x:tableParts>
</x:worksheet>
</file>

<file path=xl/worksheets/sheet3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2" hidden="0" customWidth="1"/>
    <x:col min="5" max="5" width="12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6" hidden="0" customWidth="1"/>
    <x:col min="12" max="12" width="17" hidden="0" customWidth="1"/>
    <x:col min="13" max="13" width="18" hidden="0" customWidth="1"/>
  </x:cols>
  <x:sheetData>
    <x:row r="1" ht="36" customHeight="1">
      <x:c r="A1" s="5" t="str">
        <x:v>属性、星数与30项培养预算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7" t="str">
        <x:v>每个人8行；同一人物的成长分支列必须一致（1或2）；裸值不含路线/体质/装备/专长。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6" customHeight="1">
      <x:c r="A5" s="9" t="str">
        <x:v>人物</x:v>
      </x:c>
      <x:c r="B5" s="9" t="str">
        <x:v>ID</x:v>
      </x:c>
      <x:c r="C5" s="9" t="str">
        <x:v>属性</x:v>
      </x:c>
      <x:c r="D5" s="9" t="str">
        <x:v>一级基础</x:v>
      </x:c>
      <x:c r="E5" s="9" t="str">
        <x:v>星数0～3</x:v>
      </x:c>
      <x:c r="F5" s="9" t="str">
        <x:v>升级选取0～10</x:v>
      </x:c>
      <x:c r="G5" s="9" t="str">
        <x:v>剧情分支1</x:v>
      </x:c>
      <x:c r="H5" s="9" t="str">
        <x:v>剧情分支2</x:v>
      </x:c>
      <x:c r="I5" s="9" t="str">
        <x:v>选择1或2</x:v>
      </x:c>
      <x:c r="J5" s="9" t="str">
        <x:v>所选剧情值</x:v>
      </x:c>
      <x:c r="K5" s="9" t="str">
        <x:v>0星每次均值</x:v>
      </x:c>
      <x:c r="L5" s="9" t="str">
        <x:v>本星每次均值</x:v>
      </x:c>
      <x:c r="M5" s="9" t="str">
        <x:v>11级属性均值</x:v>
      </x:c>
    </x:row>
    <x:row r="6" ht="25" customHeight="1">
      <x:c r="A6" s="10" t="str">
        <x:v>阿飞</x:v>
      </x:c>
      <x:c r="B6" s="10" t="str">
        <x:v>afei</x:v>
      </x:c>
      <x:c r="C6" s="10" t="str">
        <x:v>生命</x:v>
      </x:c>
      <x:c r="D6" s="23" t="n">
        <x:v>52</x:v>
      </x:c>
      <x:c r="E6" s="23" t="n">
        <x:v>0</x:v>
      </x:c>
      <x:c r="F6" s="23" t="n">
        <x:v>6</x:v>
      </x:c>
      <x:c r="G6" s="23" t="n">
        <x:v>0</x:v>
      </x:c>
      <x:c r="H6" s="23" t="n">
        <x:v>0</x:v>
      </x:c>
      <x:c r="I6" s="23" t="n">
        <x:v>1</x:v>
      </x:c>
      <x:c r="J6" s="19" t="n">
        <x:f>IF(I6=1,G6,H6)</x:f>
        <x:v>0</x:v>
      </x:c>
      <x:c r="K6" s="19" t="n">
        <x:v>3</x:v>
      </x:c>
      <x:c r="L6" s="19" t="n">
        <x:f>K6+E6*0.5</x:f>
        <x:v>3</x:v>
      </x:c>
      <x:c r="M6" s="19" t="n">
        <x:f>D6+J6+F6*L6</x:f>
        <x:v>70</x:v>
      </x:c>
    </x:row>
    <x:row r="7" ht="25" customHeight="1">
      <x:c r="A7" s="3" t="str">
        <x:v>阿飞</x:v>
      </x:c>
      <x:c r="B7" s="3" t="str">
        <x:v>afei</x:v>
      </x:c>
      <x:c r="C7" s="3" t="str">
        <x:v>疲劳上限</x:v>
      </x:c>
      <x:c r="D7" s="23" t="n">
        <x:v>94</x:v>
      </x:c>
      <x:c r="E7" s="23" t="n">
        <x:v>0</x:v>
      </x:c>
      <x:c r="F7" s="23" t="n">
        <x:v>0</x:v>
      </x:c>
      <x:c r="G7" s="23" t="n">
        <x:v>0</x:v>
      </x:c>
      <x:c r="H7" s="23" t="n">
        <x:v>0</x:v>
      </x:c>
      <x:c r="I7" s="23" t="n">
        <x:v>1</x:v>
      </x:c>
      <x:c r="J7" s="19" t="n">
        <x:f>IF(I7=1,G7,H7)</x:f>
        <x:v>0</x:v>
      </x:c>
      <x:c r="K7" s="19" t="n">
        <x:v>3</x:v>
      </x:c>
      <x:c r="L7" s="19" t="n">
        <x:f>K7+E7*0.5</x:f>
        <x:v>3</x:v>
      </x:c>
      <x:c r="M7" s="19" t="n">
        <x:f>D7+J7+F7*L7</x:f>
        <x:v>94</x:v>
      </x:c>
    </x:row>
    <x:row r="8" ht="25" customHeight="1">
      <x:c r="A8" s="10" t="str">
        <x:v>阿飞</x:v>
      </x:c>
      <x:c r="B8" s="10" t="str">
        <x:v>afei</x:v>
      </x:c>
      <x:c r="C8" s="10" t="str">
        <x:v>决心</x:v>
      </x:c>
      <x:c r="D8" s="23" t="n">
        <x:v>38</x:v>
      </x:c>
      <x:c r="E8" s="23" t="n">
        <x:v>2</x:v>
      </x:c>
      <x:c r="F8" s="23" t="n">
        <x:v>4</x:v>
      </x:c>
      <x:c r="G8" s="23" t="n">
        <x:v>2</x:v>
      </x:c>
      <x:c r="H8" s="23" t="n">
        <x:v>4</x:v>
      </x:c>
      <x:c r="I8" s="23" t="n">
        <x:v>1</x:v>
      </x:c>
      <x:c r="J8" s="19" t="n">
        <x:f>IF(I8=1,G8,H8)</x:f>
        <x:v>2</x:v>
      </x:c>
      <x:c r="K8" s="19" t="n">
        <x:v>3</x:v>
      </x:c>
      <x:c r="L8" s="19" t="n">
        <x:f>K8+E8*0.5</x:f>
        <x:v>4</x:v>
      </x:c>
      <x:c r="M8" s="19" t="n">
        <x:f>D8+J8+F8*L8</x:f>
        <x:v>56</x:v>
      </x:c>
    </x:row>
    <x:row r="9" ht="25" customHeight="1">
      <x:c r="A9" s="3" t="str">
        <x:v>阿飞</x:v>
      </x:c>
      <x:c r="B9" s="3" t="str">
        <x:v>afei</x:v>
      </x:c>
      <x:c r="C9" s="3" t="str">
        <x:v>先攻</x:v>
      </x:c>
      <x:c r="D9" s="23" t="n">
        <x:v>100</x:v>
      </x:c>
      <x:c r="E9" s="23" t="n">
        <x:v>0</x:v>
      </x:c>
      <x:c r="F9" s="23" t="n">
        <x:v>0</x:v>
      </x:c>
      <x:c r="G9" s="23" t="n">
        <x:v>0</x:v>
      </x:c>
      <x:c r="H9" s="23" t="n">
        <x:v>0</x:v>
      </x:c>
      <x:c r="I9" s="23" t="n">
        <x:v>1</x:v>
      </x:c>
      <x:c r="J9" s="19" t="n">
        <x:f>IF(I9=1,G9,H9)</x:f>
        <x:v>0</x:v>
      </x:c>
      <x:c r="K9" s="19" t="n">
        <x:v>4</x:v>
      </x:c>
      <x:c r="L9" s="19" t="n">
        <x:f>K9+E9*0.5</x:f>
        <x:v>4</x:v>
      </x:c>
      <x:c r="M9" s="19" t="n">
        <x:f>D9+J9+F9*L9</x:f>
        <x:v>100</x:v>
      </x:c>
    </x:row>
    <x:row r="10" ht="25" customHeight="1">
      <x:c r="A10" s="10" t="str">
        <x:v>阿飞</x:v>
      </x:c>
      <x:c r="B10" s="10" t="str">
        <x:v>afei</x:v>
      </x:c>
      <x:c r="C10" s="10" t="str">
        <x:v>近攻</x:v>
      </x:c>
      <x:c r="D10" s="23" t="n">
        <x:v>48</x:v>
      </x:c>
      <x:c r="E10" s="23" t="n">
        <x:v>2</x:v>
      </x:c>
      <x:c r="F10" s="23" t="n">
        <x:v>10</x:v>
      </x:c>
      <x:c r="G10" s="23" t="n">
        <x:v>2</x:v>
      </x:c>
      <x:c r="H10" s="23" t="n">
        <x:v>0</x:v>
      </x:c>
      <x:c r="I10" s="23" t="n">
        <x:v>1</x:v>
      </x:c>
      <x:c r="J10" s="19" t="n">
        <x:f>IF(I10=1,G10,H10)</x:f>
        <x:v>2</x:v>
      </x:c>
      <x:c r="K10" s="19" t="n">
        <x:v>2</x:v>
      </x:c>
      <x:c r="L10" s="19" t="n">
        <x:f>K10+E10*0.5</x:f>
        <x:v>3</x:v>
      </x:c>
      <x:c r="M10" s="19" t="n">
        <x:f>D10+J10+F10*L10</x:f>
        <x:v>80</x:v>
      </x:c>
    </x:row>
    <x:row r="11" ht="25" customHeight="1">
      <x:c r="A11" s="3" t="str">
        <x:v>阿飞</x:v>
      </x:c>
      <x:c r="B11" s="3" t="str">
        <x:v>afei</x:v>
      </x:c>
      <x:c r="C11" s="3" t="str">
        <x:v>远攻</x:v>
      </x:c>
      <x:c r="D11" s="23" t="n">
        <x:v>32</x:v>
      </x:c>
      <x:c r="E11" s="23" t="n">
        <x:v>0</x:v>
      </x:c>
      <x:c r="F11" s="23" t="n">
        <x:v>0</x:v>
      </x:c>
      <x:c r="G11" s="23" t="n">
        <x:v>0</x:v>
      </x:c>
      <x:c r="H11" s="23" t="n">
        <x:v>0</x:v>
      </x:c>
      <x:c r="I11" s="23" t="n">
        <x:v>1</x:v>
      </x:c>
      <x:c r="J11" s="19" t="n">
        <x:f>IF(I11=1,G11,H11)</x:f>
        <x:v>0</x:v>
      </x:c>
      <x:c r="K11" s="19" t="n">
        <x:v>3</x:v>
      </x:c>
      <x:c r="L11" s="19" t="n">
        <x:f>K11+E11*0.5</x:f>
        <x:v>3</x:v>
      </x:c>
      <x:c r="M11" s="19" t="n">
        <x:f>D11+J11+F11*L11</x:f>
        <x:v>32</x:v>
      </x:c>
    </x:row>
    <x:row r="12" ht="25" customHeight="1">
      <x:c r="A12" s="10" t="str">
        <x:v>阿飞</x:v>
      </x:c>
      <x:c r="B12" s="10" t="str">
        <x:v>afei</x:v>
      </x:c>
      <x:c r="C12" s="10" t="str">
        <x:v>近防</x:v>
      </x:c>
      <x:c r="D12" s="23" t="n">
        <x:v>3</x:v>
      </x:c>
      <x:c r="E12" s="23" t="n">
        <x:v>2</x:v>
      </x:c>
      <x:c r="F12" s="23" t="n">
        <x:v>10</x:v>
      </x:c>
      <x:c r="G12" s="23" t="n">
        <x:v>0</x:v>
      </x:c>
      <x:c r="H12" s="23" t="n">
        <x:v>0</x:v>
      </x:c>
      <x:c r="I12" s="23" t="n">
        <x:v>1</x:v>
      </x:c>
      <x:c r="J12" s="19" t="n">
        <x:f>IF(I12=1,G12,H12)</x:f>
        <x:v>0</x:v>
      </x:c>
      <x:c r="K12" s="19" t="n">
        <x:v>2</x:v>
      </x:c>
      <x:c r="L12" s="19" t="n">
        <x:f>K12+E12*0.5</x:f>
        <x:v>3</x:v>
      </x:c>
      <x:c r="M12" s="19" t="n">
        <x:f>D12+J12+F12*L12</x:f>
        <x:v>33</x:v>
      </x:c>
    </x:row>
    <x:row r="13" ht="25" customHeight="1">
      <x:c r="A13" s="3" t="str">
        <x:v>阿飞</x:v>
      </x:c>
      <x:c r="B13" s="3" t="str">
        <x:v>afei</x:v>
      </x:c>
      <x:c r="C13" s="3" t="str">
        <x:v>远防</x:v>
      </x:c>
      <x:c r="D13" s="23" t="n">
        <x:v>2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1</x:v>
      </x:c>
      <x:c r="J13" s="19" t="n">
        <x:f>IF(I13=1,G13,H13)</x:f>
        <x:v>0</x:v>
      </x:c>
      <x:c r="K13" s="19" t="n">
        <x:v>3</x:v>
      </x:c>
      <x:c r="L13" s="19" t="n">
        <x:f>K13+E13*0.5</x:f>
        <x:v>3</x:v>
      </x:c>
      <x:c r="M13" s="19" t="n">
        <x:f>D13+J13+F13*L13</x:f>
        <x:v>2</x:v>
      </x:c>
    </x:row>
    <x:row r="14" ht="25" customHeight="1">
      <x:c r="A14" s="10" t="str">
        <x:v>王大谋</x:v>
      </x:c>
      <x:c r="B14" s="10" t="str">
        <x:v>damou</x:v>
      </x:c>
      <x:c r="C14" s="10" t="str">
        <x:v>生命</x:v>
      </x:c>
      <x:c r="D14" s="23" t="n">
        <x:v>59</x:v>
      </x:c>
      <x:c r="E14" s="23" t="n">
        <x:v>0</x:v>
      </x:c>
      <x:c r="F14" s="23" t="n">
        <x:v>8</x:v>
      </x:c>
      <x:c r="G14" s="23" t="n">
        <x:v>0</x:v>
      </x:c>
      <x:c r="H14" s="23" t="n">
        <x:v>0</x:v>
      </x:c>
      <x:c r="I14" s="23" t="n">
        <x:v>1</x:v>
      </x:c>
      <x:c r="J14" s="19" t="n">
        <x:f>IF(I14=1,G14,H14)</x:f>
        <x:v>0</x:v>
      </x:c>
      <x:c r="K14" s="19" t="n">
        <x:v>3</x:v>
      </x:c>
      <x:c r="L14" s="19" t="n">
        <x:f>K14+E14*0.5</x:f>
        <x:v>3</x:v>
      </x:c>
      <x:c r="M14" s="19" t="n">
        <x:f>D14+J14+F14*L14</x:f>
        <x:v>83</x:v>
      </x:c>
    </x:row>
    <x:row r="15" ht="25" customHeight="1">
      <x:c r="A15" s="3" t="str">
        <x:v>王大谋</x:v>
      </x:c>
      <x:c r="B15" s="3" t="str">
        <x:v>damou</x:v>
      </x:c>
      <x:c r="C15" s="3" t="str">
        <x:v>疲劳上限</x:v>
      </x:c>
      <x:c r="D15" s="23" t="n">
        <x:v>100</x:v>
      </x:c>
      <x:c r="E15" s="23" t="n">
        <x:v>1</x:v>
      </x:c>
      <x:c r="F15" s="23" t="n">
        <x:v>5</x:v>
      </x:c>
      <x:c r="G15" s="23" t="n">
        <x:v>3</x:v>
      </x:c>
      <x:c r="H15" s="23" t="n">
        <x:v>0</x:v>
      </x:c>
      <x:c r="I15" s="23" t="n">
        <x:v>1</x:v>
      </x:c>
      <x:c r="J15" s="19" t="n">
        <x:f>IF(I15=1,G15,H15)</x:f>
        <x:v>3</x:v>
      </x:c>
      <x:c r="K15" s="19" t="n">
        <x:v>3</x:v>
      </x:c>
      <x:c r="L15" s="19" t="n">
        <x:f>K15+E15*0.5</x:f>
        <x:v>3.5</x:v>
      </x:c>
      <x:c r="M15" s="19" t="n">
        <x:f>D15+J15+F15*L15</x:f>
        <x:v>120.5</x:v>
      </x:c>
    </x:row>
    <x:row r="16" ht="25" customHeight="1">
      <x:c r="A16" s="10" t="str">
        <x:v>王大谋</x:v>
      </x:c>
      <x:c r="B16" s="10" t="str">
        <x:v>damou</x:v>
      </x:c>
      <x:c r="C16" s="10" t="str">
        <x:v>决心</x:v>
      </x:c>
      <x:c r="D16" s="23" t="n">
        <x:v>48</x:v>
      </x:c>
      <x:c r="E16" s="23" t="n">
        <x:v>2</x:v>
      </x:c>
      <x:c r="F16" s="23" t="n">
        <x:v>7</x:v>
      </x:c>
      <x:c r="G16" s="23" t="n">
        <x:v>0</x:v>
      </x:c>
      <x:c r="H16" s="23" t="n">
        <x:v>2</x:v>
      </x:c>
      <x:c r="I16" s="23" t="n">
        <x:v>1</x:v>
      </x:c>
      <x:c r="J16" s="19" t="n">
        <x:f>IF(I16=1,G16,H16)</x:f>
        <x:v>0</x:v>
      </x:c>
      <x:c r="K16" s="19" t="n">
        <x:v>3</x:v>
      </x:c>
      <x:c r="L16" s="19" t="n">
        <x:f>K16+E16*0.5</x:f>
        <x:v>4</x:v>
      </x:c>
      <x:c r="M16" s="19" t="n">
        <x:f>D16+J16+F16*L16</x:f>
        <x:v>76</x:v>
      </x:c>
    </x:row>
    <x:row r="17" ht="25" customHeight="1">
      <x:c r="A17" s="3" t="str">
        <x:v>王大谋</x:v>
      </x:c>
      <x:c r="B17" s="3" t="str">
        <x:v>damou</x:v>
      </x:c>
      <x:c r="C17" s="3" t="str">
        <x:v>先攻</x:v>
      </x:c>
      <x:c r="D17" s="23" t="n">
        <x:v>96</x:v>
      </x:c>
      <x:c r="E17" s="23" t="n">
        <x:v>0</x:v>
      </x:c>
      <x:c r="F17" s="23" t="n">
        <x:v>0</x:v>
      </x:c>
      <x:c r="G17" s="23" t="n">
        <x:v>0</x:v>
      </x:c>
      <x:c r="H17" s="23" t="n">
        <x:v>0</x:v>
      </x:c>
      <x:c r="I17" s="23" t="n">
        <x:v>1</x:v>
      </x:c>
      <x:c r="J17" s="19" t="n">
        <x:f>IF(I17=1,G17,H17)</x:f>
        <x:v>0</x:v>
      </x:c>
      <x:c r="K17" s="19" t="n">
        <x:v>4</x:v>
      </x:c>
      <x:c r="L17" s="19" t="n">
        <x:f>K17+E17*0.5</x:f>
        <x:v>4</x:v>
      </x:c>
      <x:c r="M17" s="19" t="n">
        <x:f>D17+J17+F17*L17</x:f>
        <x:v>96</x:v>
      </x:c>
    </x:row>
    <x:row r="18" ht="25" customHeight="1">
      <x:c r="A18" s="10" t="str">
        <x:v>王大谋</x:v>
      </x:c>
      <x:c r="B18" s="10" t="str">
        <x:v>damou</x:v>
      </x:c>
      <x:c r="C18" s="10" t="str">
        <x:v>近攻</x:v>
      </x:c>
      <x:c r="D18" s="23" t="n">
        <x:v>56</x:v>
      </x:c>
      <x:c r="E18" s="23" t="n">
        <x:v>0</x:v>
      </x:c>
      <x:c r="F18" s="23" t="n">
        <x:v>0</x:v>
      </x:c>
      <x:c r="G18" s="23" t="n">
        <x:v>0</x:v>
      </x:c>
      <x:c r="H18" s="23" t="n">
        <x:v>3</x:v>
      </x:c>
      <x:c r="I18" s="23" t="n">
        <x:v>1</x:v>
      </x:c>
      <x:c r="J18" s="19" t="n">
        <x:f>IF(I18=1,G18,H18)</x:f>
        <x:v>0</x:v>
      </x:c>
      <x:c r="K18" s="19" t="n">
        <x:v>2</x:v>
      </x:c>
      <x:c r="L18" s="19" t="n">
        <x:f>K18+E18*0.5</x:f>
        <x:v>2</x:v>
      </x:c>
      <x:c r="M18" s="19" t="n">
        <x:f>D18+J18+F18*L18</x:f>
        <x:v>56</x:v>
      </x:c>
    </x:row>
    <x:row r="19" ht="25" customHeight="1">
      <x:c r="A19" s="3" t="str">
        <x:v>王大谋</x:v>
      </x:c>
      <x:c r="B19" s="3" t="str">
        <x:v>damou</x:v>
      </x:c>
      <x:c r="C19" s="3" t="str">
        <x:v>远攻</x:v>
      </x:c>
      <x:c r="D19" s="23" t="n">
        <x:v>32</x:v>
      </x:c>
      <x:c r="E19" s="23" t="n">
        <x:v>0</x:v>
      </x:c>
      <x:c r="F19" s="23" t="n">
        <x:v>0</x:v>
      </x:c>
      <x:c r="G19" s="23" t="n">
        <x:v>0</x:v>
      </x:c>
      <x:c r="H19" s="23" t="n">
        <x:v>0</x:v>
      </x:c>
      <x:c r="I19" s="23" t="n">
        <x:v>1</x:v>
      </x:c>
      <x:c r="J19" s="19" t="n">
        <x:f>IF(I19=1,G19,H19)</x:f>
        <x:v>0</x:v>
      </x:c>
      <x:c r="K19" s="19" t="n">
        <x:v>3</x:v>
      </x:c>
      <x:c r="L19" s="19" t="n">
        <x:f>K19+E19*0.5</x:f>
        <x:v>3</x:v>
      </x:c>
      <x:c r="M19" s="19" t="n">
        <x:f>D19+J19+F19*L19</x:f>
        <x:v>32</x:v>
      </x:c>
    </x:row>
    <x:row r="20" ht="25" customHeight="1">
      <x:c r="A20" s="10" t="str">
        <x:v>王大谋</x:v>
      </x:c>
      <x:c r="B20" s="10" t="str">
        <x:v>damou</x:v>
      </x:c>
      <x:c r="C20" s="10" t="str">
        <x:v>近防</x:v>
      </x:c>
      <x:c r="D20" s="23" t="n">
        <x:v>6</x:v>
      </x:c>
      <x:c r="E20" s="23" t="n">
        <x:v>3</x:v>
      </x:c>
      <x:c r="F20" s="23" t="n">
        <x:v>10</x:v>
      </x:c>
      <x:c r="G20" s="23" t="n">
        <x:v>2</x:v>
      </x:c>
      <x:c r="H20" s="23" t="n">
        <x:v>0</x:v>
      </x:c>
      <x:c r="I20" s="23" t="n">
        <x:v>1</x:v>
      </x:c>
      <x:c r="J20" s="19" t="n">
        <x:f>IF(I20=1,G20,H20)</x:f>
        <x:v>2</x:v>
      </x:c>
      <x:c r="K20" s="19" t="n">
        <x:v>2</x:v>
      </x:c>
      <x:c r="L20" s="19" t="n">
        <x:f>K20+E20*0.5</x:f>
        <x:v>3.5</x:v>
      </x:c>
      <x:c r="M20" s="19" t="n">
        <x:f>D20+J20+F20*L20</x:f>
        <x:v>43</x:v>
      </x:c>
    </x:row>
    <x:row r="21" ht="25" customHeight="1">
      <x:c r="A21" s="3" t="str">
        <x:v>王大谋</x:v>
      </x:c>
      <x:c r="B21" s="3" t="str">
        <x:v>damou</x:v>
      </x:c>
      <x:c r="C21" s="3" t="str">
        <x:v>远防</x:v>
      </x:c>
      <x:c r="D21" s="23" t="n">
        <x:v>2</x:v>
      </x:c>
      <x:c r="E21" s="23" t="n">
        <x:v>0</x:v>
      </x:c>
      <x:c r="F21" s="23" t="n">
        <x:v>0</x:v>
      </x:c>
      <x:c r="G21" s="23" t="n">
        <x:v>0</x:v>
      </x:c>
      <x:c r="H21" s="23" t="n">
        <x:v>0</x:v>
      </x:c>
      <x:c r="I21" s="23" t="n">
        <x:v>1</x:v>
      </x:c>
      <x:c r="J21" s="19" t="n">
        <x:f>IF(I21=1,G21,H21)</x:f>
        <x:v>0</x:v>
      </x:c>
      <x:c r="K21" s="19" t="n">
        <x:v>3</x:v>
      </x:c>
      <x:c r="L21" s="19" t="n">
        <x:f>K21+E21*0.5</x:f>
        <x:v>3</x:v>
      </x:c>
      <x:c r="M21" s="19" t="n">
        <x:f>D21+J21+F21*L21</x:f>
        <x:v>2</x:v>
      </x:c>
    </x:row>
    <x:row r="22" ht="25" customHeight="1">
      <x:c r="A22" s="10" t="str">
        <x:v>午夜抹抹茶</x:v>
      </x:c>
      <x:c r="B22" s="10" t="str">
        <x:v>mocha</x:v>
      </x:c>
      <x:c r="C22" s="10" t="str">
        <x:v>生命</x:v>
      </x:c>
      <x:c r="D22" s="23" t="n">
        <x:v>53</x:v>
      </x:c>
      <x:c r="E22" s="23" t="n">
        <x:v>0</x:v>
      </x:c>
      <x:c r="F22" s="23" t="n">
        <x:v>7</x:v>
      </x:c>
      <x:c r="G22" s="23" t="n">
        <x:v>0</x:v>
      </x:c>
      <x:c r="H22" s="23" t="n">
        <x:v>0</x:v>
      </x:c>
      <x:c r="I22" s="23" t="n">
        <x:v>1</x:v>
      </x:c>
      <x:c r="J22" s="19" t="n">
        <x:f>IF(I22=1,G22,H22)</x:f>
        <x:v>0</x:v>
      </x:c>
      <x:c r="K22" s="19" t="n">
        <x:v>3</x:v>
      </x:c>
      <x:c r="L22" s="19" t="n">
        <x:f>K22+E22*0.5</x:f>
        <x:v>3</x:v>
      </x:c>
      <x:c r="M22" s="19" t="n">
        <x:f>D22+J22+F22*L22</x:f>
        <x:v>74</x:v>
      </x:c>
    </x:row>
    <x:row r="23" ht="25" customHeight="1">
      <x:c r="A23" s="3" t="str">
        <x:v>午夜抹抹茶</x:v>
      </x:c>
      <x:c r="B23" s="3" t="str">
        <x:v>mocha</x:v>
      </x:c>
      <x:c r="C23" s="3" t="str">
        <x:v>疲劳上限</x:v>
      </x:c>
      <x:c r="D23" s="23" t="n">
        <x:v>98</x:v>
      </x:c>
      <x:c r="E23" s="23" t="n">
        <x:v>1</x:v>
      </x:c>
      <x:c r="F23" s="23" t="n">
        <x:v>4</x:v>
      </x:c>
      <x:c r="G23" s="23" t="n">
        <x:v>4</x:v>
      </x:c>
      <x:c r="H23" s="23" t="n">
        <x:v>0</x:v>
      </x:c>
      <x:c r="I23" s="23" t="n">
        <x:v>1</x:v>
      </x:c>
      <x:c r="J23" s="19" t="n">
        <x:f>IF(I23=1,G23,H23)</x:f>
        <x:v>4</x:v>
      </x:c>
      <x:c r="K23" s="19" t="n">
        <x:v>3</x:v>
      </x:c>
      <x:c r="L23" s="19" t="n">
        <x:f>K23+E23*0.5</x:f>
        <x:v>3.5</x:v>
      </x:c>
      <x:c r="M23" s="19" t="n">
        <x:f>D23+J23+F23*L23</x:f>
        <x:v>116</x:v>
      </x:c>
    </x:row>
    <x:row r="24" ht="25" customHeight="1">
      <x:c r="A24" s="10" t="str">
        <x:v>午夜抹抹茶</x:v>
      </x:c>
      <x:c r="B24" s="10" t="str">
        <x:v>mocha</x:v>
      </x:c>
      <x:c r="C24" s="10" t="str">
        <x:v>决心</x:v>
      </x:c>
      <x:c r="D24" s="23" t="n">
        <x:v>43</x:v>
      </x:c>
      <x:c r="E24" s="23" t="n">
        <x:v>1</x:v>
      </x:c>
      <x:c r="F24" s="23" t="n">
        <x:v>5</x:v>
      </x:c>
      <x:c r="G24" s="23" t="n">
        <x:v>2</x:v>
      </x:c>
      <x:c r="H24" s="23" t="n">
        <x:v>3</x:v>
      </x:c>
      <x:c r="I24" s="23" t="n">
        <x:v>1</x:v>
      </x:c>
      <x:c r="J24" s="19" t="n">
        <x:f>IF(I24=1,G24,H24)</x:f>
        <x:v>2</x:v>
      </x:c>
      <x:c r="K24" s="19" t="n">
        <x:v>3</x:v>
      </x:c>
      <x:c r="L24" s="19" t="n">
        <x:f>K24+E24*0.5</x:f>
        <x:v>3.5</x:v>
      </x:c>
      <x:c r="M24" s="19" t="n">
        <x:f>D24+J24+F24*L24</x:f>
        <x:v>62.5</x:v>
      </x:c>
    </x:row>
    <x:row r="25" ht="25" customHeight="1">
      <x:c r="A25" s="3" t="str">
        <x:v>午夜抹抹茶</x:v>
      </x:c>
      <x:c r="B25" s="3" t="str">
        <x:v>mocha</x:v>
      </x:c>
      <x:c r="C25" s="3" t="str">
        <x:v>先攻</x:v>
      </x:c>
      <x:c r="D25" s="23" t="n">
        <x:v>100</x:v>
      </x:c>
      <x:c r="E25" s="23" t="n">
        <x:v>0</x:v>
      </x:c>
      <x:c r="F25" s="23" t="n">
        <x:v>0</x:v>
      </x:c>
      <x:c r="G25" s="23" t="n">
        <x:v>0</x:v>
      </x:c>
      <x:c r="H25" s="23" t="n">
        <x:v>0</x:v>
      </x:c>
      <x:c r="I25" s="23" t="n">
        <x:v>1</x:v>
      </x:c>
      <x:c r="J25" s="19" t="n">
        <x:f>IF(I25=1,G25,H25)</x:f>
        <x:v>0</x:v>
      </x:c>
      <x:c r="K25" s="19" t="n">
        <x:v>4</x:v>
      </x:c>
      <x:c r="L25" s="19" t="n">
        <x:f>K25+E25*0.5</x:f>
        <x:v>4</x:v>
      </x:c>
      <x:c r="M25" s="19" t="n">
        <x:f>D25+J25+F25*L25</x:f>
        <x:v>100</x:v>
      </x:c>
    </x:row>
    <x:row r="26" ht="25" customHeight="1">
      <x:c r="A26" s="10" t="str">
        <x:v>午夜抹抹茶</x:v>
      </x:c>
      <x:c r="B26" s="10" t="str">
        <x:v>mocha</x:v>
      </x:c>
      <x:c r="C26" s="10" t="str">
        <x:v>近攻</x:v>
      </x:c>
      <x:c r="D26" s="23" t="n">
        <x:v>50</x:v>
      </x:c>
      <x:c r="E26" s="23" t="n">
        <x:v>0</x:v>
      </x:c>
      <x:c r="F26" s="23" t="n">
        <x:v>0</x:v>
      </x:c>
      <x:c r="G26" s="23" t="n">
        <x:v>0</x:v>
      </x:c>
      <x:c r="H26" s="23" t="n">
        <x:v>0</x:v>
      </x:c>
      <x:c r="I26" s="23" t="n">
        <x:v>1</x:v>
      </x:c>
      <x:c r="J26" s="19" t="n">
        <x:f>IF(I26=1,G26,H26)</x:f>
        <x:v>0</x:v>
      </x:c>
      <x:c r="K26" s="19" t="n">
        <x:v>2</x:v>
      </x:c>
      <x:c r="L26" s="19" t="n">
        <x:f>K26+E26*0.5</x:f>
        <x:v>2</x:v>
      </x:c>
      <x:c r="M26" s="19" t="n">
        <x:f>D26+J26+F26*L26</x:f>
        <x:v>50</x:v>
      </x:c>
    </x:row>
    <x:row r="27" ht="25" customHeight="1">
      <x:c r="A27" s="3" t="str">
        <x:v>午夜抹抹茶</x:v>
      </x:c>
      <x:c r="B27" s="3" t="str">
        <x:v>mocha</x:v>
      </x:c>
      <x:c r="C27" s="3" t="str">
        <x:v>远攻</x:v>
      </x:c>
      <x:c r="D27" s="23" t="n">
        <x:v>54</x:v>
      </x:c>
      <x:c r="E27" s="23" t="n">
        <x:v>2</x:v>
      </x:c>
      <x:c r="F27" s="23" t="n">
        <x:v>10</x:v>
      </x:c>
      <x:c r="G27" s="23" t="n">
        <x:v>0</x:v>
      </x:c>
      <x:c r="H27" s="23" t="n">
        <x:v>2</x:v>
      </x:c>
      <x:c r="I27" s="23" t="n">
        <x:v>1</x:v>
      </x:c>
      <x:c r="J27" s="19" t="n">
        <x:f>IF(I27=1,G27,H27)</x:f>
        <x:v>0</x:v>
      </x:c>
      <x:c r="K27" s="19" t="n">
        <x:v>3</x:v>
      </x:c>
      <x:c r="L27" s="19" t="n">
        <x:f>K27+E27*0.5</x:f>
        <x:v>4</x:v>
      </x:c>
      <x:c r="M27" s="19" t="n">
        <x:f>D27+J27+F27*L27</x:f>
        <x:v>94</x:v>
      </x:c>
    </x:row>
    <x:row r="28" ht="25" customHeight="1">
      <x:c r="A28" s="10" t="str">
        <x:v>午夜抹抹茶</x:v>
      </x:c>
      <x:c r="B28" s="10" t="str">
        <x:v>mocha</x:v>
      </x:c>
      <x:c r="C28" s="10" t="str">
        <x:v>近防</x:v>
      </x:c>
      <x:c r="D28" s="23" t="n">
        <x:v>3</x:v>
      </x:c>
      <x:c r="E28" s="23" t="n">
        <x:v>0</x:v>
      </x:c>
      <x:c r="F28" s="23" t="n">
        <x:v>0</x:v>
      </x:c>
      <x:c r="G28" s="23" t="n">
        <x:v>0</x:v>
      </x:c>
      <x:c r="H28" s="23" t="n">
        <x:v>0</x:v>
      </x:c>
      <x:c r="I28" s="23" t="n">
        <x:v>1</x:v>
      </x:c>
      <x:c r="J28" s="19" t="n">
        <x:f>IF(I28=1,G28,H28)</x:f>
        <x:v>0</x:v>
      </x:c>
      <x:c r="K28" s="19" t="n">
        <x:v>2</x:v>
      </x:c>
      <x:c r="L28" s="19" t="n">
        <x:f>K28+E28*0.5</x:f>
        <x:v>2</x:v>
      </x:c>
      <x:c r="M28" s="19" t="n">
        <x:f>D28+J28+F28*L28</x:f>
        <x:v>3</x:v>
      </x:c>
    </x:row>
    <x:row r="29" ht="25" customHeight="1">
      <x:c r="A29" s="3" t="str">
        <x:v>午夜抹抹茶</x:v>
      </x:c>
      <x:c r="B29" s="3" t="str">
        <x:v>mocha</x:v>
      </x:c>
      <x:c r="C29" s="3" t="str">
        <x:v>远防</x:v>
      </x:c>
      <x:c r="D29" s="23" t="n">
        <x:v>5</x:v>
      </x:c>
      <x:c r="E29" s="23" t="n">
        <x:v>0</x:v>
      </x:c>
      <x:c r="F29" s="23" t="n">
        <x:v>4</x:v>
      </x:c>
      <x:c r="G29" s="23" t="n">
        <x:v>0</x:v>
      </x:c>
      <x:c r="H29" s="23" t="n">
        <x:v>0</x:v>
      </x:c>
      <x:c r="I29" s="23" t="n">
        <x:v>1</x:v>
      </x:c>
      <x:c r="J29" s="19" t="n">
        <x:f>IF(I29=1,G29,H29)</x:f>
        <x:v>0</x:v>
      </x:c>
      <x:c r="K29" s="19" t="n">
        <x:v>3</x:v>
      </x:c>
      <x:c r="L29" s="19" t="n">
        <x:f>K29+E29*0.5</x:f>
        <x:v>3</x:v>
      </x:c>
      <x:c r="M29" s="19" t="n">
        <x:f>D29+J29+F29*L29</x:f>
        <x:v>17</x:v>
      </x:c>
    </x:row>
    <x:row r="30" ht="25" customHeight="1">
      <x:c r="A30" s="10" t="str">
        <x:v>小酒瓶</x:v>
      </x:c>
      <x:c r="B30" s="10" t="str">
        <x:v>bottle</x:v>
      </x:c>
      <x:c r="C30" s="10" t="str">
        <x:v>生命</x:v>
      </x:c>
      <x:c r="D30" s="23" t="n">
        <x:v>56</x:v>
      </x:c>
      <x:c r="E30" s="23" t="n">
        <x:v>0</x:v>
      </x:c>
      <x:c r="F30" s="23" t="n">
        <x:v>6</x:v>
      </x:c>
      <x:c r="G30" s="23" t="n">
        <x:v>0</x:v>
      </x:c>
      <x:c r="H30" s="23" t="n">
        <x:v>0</x:v>
      </x:c>
      <x:c r="I30" s="23" t="n">
        <x:v>1</x:v>
      </x:c>
      <x:c r="J30" s="19" t="n">
        <x:f>IF(I30=1,G30,H30)</x:f>
        <x:v>0</x:v>
      </x:c>
      <x:c r="K30" s="19" t="n">
        <x:v>3</x:v>
      </x:c>
      <x:c r="L30" s="19" t="n">
        <x:f>K30+E30*0.5</x:f>
        <x:v>3</x:v>
      </x:c>
      <x:c r="M30" s="19" t="n">
        <x:f>D30+J30+F30*L30</x:f>
        <x:v>74</x:v>
      </x:c>
    </x:row>
    <x:row r="31" ht="25" customHeight="1">
      <x:c r="A31" s="3" t="str">
        <x:v>小酒瓶</x:v>
      </x:c>
      <x:c r="B31" s="3" t="str">
        <x:v>bottle</x:v>
      </x:c>
      <x:c r="C31" s="3" t="str">
        <x:v>疲劳上限</x:v>
      </x:c>
      <x:c r="D31" s="23" t="n">
        <x:v>97</x:v>
      </x:c>
      <x:c r="E31" s="23" t="n">
        <x:v>0</x:v>
      </x:c>
      <x:c r="F31" s="23" t="n">
        <x:v>0</x:v>
      </x:c>
      <x:c r="G31" s="23" t="n">
        <x:v>0</x:v>
      </x:c>
      <x:c r="H31" s="23" t="n">
        <x:v>0</x:v>
      </x:c>
      <x:c r="I31" s="23" t="n">
        <x:v>1</x:v>
      </x:c>
      <x:c r="J31" s="19" t="n">
        <x:f>IF(I31=1,G31,H31)</x:f>
        <x:v>0</x:v>
      </x:c>
      <x:c r="K31" s="19" t="n">
        <x:v>3</x:v>
      </x:c>
      <x:c r="L31" s="19" t="n">
        <x:f>K31+E31*0.5</x:f>
        <x:v>3</x:v>
      </x:c>
      <x:c r="M31" s="19" t="n">
        <x:f>D31+J31+F31*L31</x:f>
        <x:v>97</x:v>
      </x:c>
    </x:row>
    <x:row r="32" ht="25" customHeight="1">
      <x:c r="A32" s="10" t="str">
        <x:v>小酒瓶</x:v>
      </x:c>
      <x:c r="B32" s="10" t="str">
        <x:v>bottle</x:v>
      </x:c>
      <x:c r="C32" s="10" t="str">
        <x:v>决心</x:v>
      </x:c>
      <x:c r="D32" s="23" t="n">
        <x:v>44</x:v>
      </x:c>
      <x:c r="E32" s="23" t="n">
        <x:v>3</x:v>
      </x:c>
      <x:c r="F32" s="23" t="n">
        <x:v>4</x:v>
      </x:c>
      <x:c r="G32" s="23" t="n">
        <x:v>0</x:v>
      </x:c>
      <x:c r="H32" s="23" t="n">
        <x:v>4</x:v>
      </x:c>
      <x:c r="I32" s="23" t="n">
        <x:v>1</x:v>
      </x:c>
      <x:c r="J32" s="19" t="n">
        <x:f>IF(I32=1,G32,H32)</x:f>
        <x:v>0</x:v>
      </x:c>
      <x:c r="K32" s="19" t="n">
        <x:v>3</x:v>
      </x:c>
      <x:c r="L32" s="19" t="n">
        <x:f>K32+E32*0.5</x:f>
        <x:v>4.5</x:v>
      </x:c>
      <x:c r="M32" s="19" t="n">
        <x:f>D32+J32+F32*L32</x:f>
        <x:v>62</x:v>
      </x:c>
    </x:row>
    <x:row r="33" ht="25" customHeight="1">
      <x:c r="A33" s="3" t="str">
        <x:v>小酒瓶</x:v>
      </x:c>
      <x:c r="B33" s="3" t="str">
        <x:v>bottle</x:v>
      </x:c>
      <x:c r="C33" s="3" t="str">
        <x:v>先攻</x:v>
      </x:c>
      <x:c r="D33" s="23" t="n">
        <x:v>102</x:v>
      </x:c>
      <x:c r="E33" s="23" t="n">
        <x:v>0</x:v>
      </x:c>
      <x:c r="F33" s="23" t="n">
        <x:v>0</x:v>
      </x:c>
      <x:c r="G33" s="23" t="n">
        <x:v>3</x:v>
      </x:c>
      <x:c r="H33" s="23" t="n">
        <x:v>0</x:v>
      </x:c>
      <x:c r="I33" s="23" t="n">
        <x:v>1</x:v>
      </x:c>
      <x:c r="J33" s="19" t="n">
        <x:f>IF(I33=1,G33,H33)</x:f>
        <x:v>3</x:v>
      </x:c>
      <x:c r="K33" s="19" t="n">
        <x:v>4</x:v>
      </x:c>
      <x:c r="L33" s="19" t="n">
        <x:f>K33+E33*0.5</x:f>
        <x:v>4</x:v>
      </x:c>
      <x:c r="M33" s="19" t="n">
        <x:f>D33+J33+F33*L33</x:f>
        <x:v>105</x:v>
      </x:c>
    </x:row>
    <x:row r="34" ht="25" customHeight="1">
      <x:c r="A34" s="10" t="str">
        <x:v>小酒瓶</x:v>
      </x:c>
      <x:c r="B34" s="10" t="str">
        <x:v>bottle</x:v>
      </x:c>
      <x:c r="C34" s="10" t="str">
        <x:v>近攻</x:v>
      </x:c>
      <x:c r="D34" s="23" t="n">
        <x:v>53</x:v>
      </x:c>
      <x:c r="E34" s="23" t="n">
        <x:v>3</x:v>
      </x:c>
      <x:c r="F34" s="23" t="n">
        <x:v>10</x:v>
      </x:c>
      <x:c r="G34" s="23" t="n">
        <x:v>3</x:v>
      </x:c>
      <x:c r="H34" s="23" t="n">
        <x:v>0</x:v>
      </x:c>
      <x:c r="I34" s="23" t="n">
        <x:v>1</x:v>
      </x:c>
      <x:c r="J34" s="19" t="n">
        <x:f>IF(I34=1,G34,H34)</x:f>
        <x:v>3</x:v>
      </x:c>
      <x:c r="K34" s="19" t="n">
        <x:v>2</x:v>
      </x:c>
      <x:c r="L34" s="19" t="n">
        <x:f>K34+E34*0.5</x:f>
        <x:v>3.5</x:v>
      </x:c>
      <x:c r="M34" s="19" t="n">
        <x:f>D34+J34+F34*L34</x:f>
        <x:v>91</x:v>
      </x:c>
    </x:row>
    <x:row r="35" ht="25" customHeight="1">
      <x:c r="A35" s="3" t="str">
        <x:v>小酒瓶</x:v>
      </x:c>
      <x:c r="B35" s="3" t="str">
        <x:v>bottle</x:v>
      </x:c>
      <x:c r="C35" s="3" t="str">
        <x:v>远攻</x:v>
      </x:c>
      <x:c r="D35" s="23" t="n">
        <x:v>34</x:v>
      </x:c>
      <x:c r="E35" s="23" t="n">
        <x:v>0</x:v>
      </x:c>
      <x:c r="F35" s="23" t="n">
        <x:v>0</x:v>
      </x:c>
      <x:c r="G35" s="23" t="n">
        <x:v>0</x:v>
      </x:c>
      <x:c r="H35" s="23" t="n">
        <x:v>0</x:v>
      </x:c>
      <x:c r="I35" s="23" t="n">
        <x:v>1</x:v>
      </x:c>
      <x:c r="J35" s="19" t="n">
        <x:f>IF(I35=1,G35,H35)</x:f>
        <x:v>0</x:v>
      </x:c>
      <x:c r="K35" s="19" t="n">
        <x:v>3</x:v>
      </x:c>
      <x:c r="L35" s="19" t="n">
        <x:f>K35+E35*0.5</x:f>
        <x:v>3</x:v>
      </x:c>
      <x:c r="M35" s="19" t="n">
        <x:f>D35+J35+F35*L35</x:f>
        <x:v>34</x:v>
      </x:c>
    </x:row>
    <x:row r="36" ht="25" customHeight="1">
      <x:c r="A36" s="10" t="str">
        <x:v>小酒瓶</x:v>
      </x:c>
      <x:c r="B36" s="10" t="str">
        <x:v>bottle</x:v>
      </x:c>
      <x:c r="C36" s="10" t="str">
        <x:v>近防</x:v>
      </x:c>
      <x:c r="D36" s="23" t="n">
        <x:v>3</x:v>
      </x:c>
      <x:c r="E36" s="23" t="n">
        <x:v>3</x:v>
      </x:c>
      <x:c r="F36" s="23" t="n">
        <x:v>10</x:v>
      </x:c>
      <x:c r="G36" s="23" t="n">
        <x:v>0</x:v>
      </x:c>
      <x:c r="H36" s="23" t="n">
        <x:v>2</x:v>
      </x:c>
      <x:c r="I36" s="23" t="n">
        <x:v>1</x:v>
      </x:c>
      <x:c r="J36" s="19" t="n">
        <x:f>IF(I36=1,G36,H36)</x:f>
        <x:v>0</x:v>
      </x:c>
      <x:c r="K36" s="19" t="n">
        <x:v>2</x:v>
      </x:c>
      <x:c r="L36" s="19" t="n">
        <x:f>K36+E36*0.5</x:f>
        <x:v>3.5</x:v>
      </x:c>
      <x:c r="M36" s="19" t="n">
        <x:f>D36+J36+F36*L36</x:f>
        <x:v>38</x:v>
      </x:c>
    </x:row>
    <x:row r="37" ht="25" customHeight="1">
      <x:c r="A37" s="3" t="str">
        <x:v>小酒瓶</x:v>
      </x:c>
      <x:c r="B37" s="3" t="str">
        <x:v>bottle</x:v>
      </x:c>
      <x:c r="C37" s="3" t="str">
        <x:v>远防</x:v>
      </x:c>
      <x:c r="D37" s="23" t="n">
        <x:v>2</x:v>
      </x:c>
      <x:c r="E37" s="23" t="n">
        <x:v>0</x:v>
      </x:c>
      <x:c r="F37" s="23" t="n">
        <x:v>0</x:v>
      </x:c>
      <x:c r="G37" s="23" t="n">
        <x:v>0</x:v>
      </x:c>
      <x:c r="H37" s="23" t="n">
        <x:v>0</x:v>
      </x:c>
      <x:c r="I37" s="23" t="n">
        <x:v>1</x:v>
      </x:c>
      <x:c r="J37" s="19" t="n">
        <x:f>IF(I37=1,G37,H37)</x:f>
        <x:v>0</x:v>
      </x:c>
      <x:c r="K37" s="19" t="n">
        <x:v>3</x:v>
      </x:c>
      <x:c r="L37" s="19" t="n">
        <x:f>K37+E37*0.5</x:f>
        <x:v>3</x:v>
      </x:c>
      <x:c r="M37" s="19" t="n">
        <x:f>D37+J37+F37*L37</x:f>
        <x:v>2</x:v>
      </x:c>
    </x:row>
    <x:row r="38" ht="25" customHeight="1">
      <x:c r="A38" s="10" t="str">
        <x:v>白小帅子</x:v>
      </x:c>
      <x:c r="B38" s="10" t="str">
        <x:v>shuaizi</x:v>
      </x:c>
      <x:c r="C38" s="10" t="str">
        <x:v>生命</x:v>
      </x:c>
      <x:c r="D38" s="23" t="n">
        <x:v>62</x:v>
      </x:c>
      <x:c r="E38" s="23" t="n">
        <x:v>1</x:v>
      </x:c>
      <x:c r="F38" s="23" t="n">
        <x:v>8</x:v>
      </x:c>
      <x:c r="G38" s="23" t="n">
        <x:v>3</x:v>
      </x:c>
      <x:c r="H38" s="23" t="n">
        <x:v>0</x:v>
      </x:c>
      <x:c r="I38" s="23" t="n">
        <x:v>1</x:v>
      </x:c>
      <x:c r="J38" s="19" t="n">
        <x:f>IF(I38=1,G38,H38)</x:f>
        <x:v>3</x:v>
      </x:c>
      <x:c r="K38" s="19" t="n">
        <x:v>3</x:v>
      </x:c>
      <x:c r="L38" s="19" t="n">
        <x:f>K38+E38*0.5</x:f>
        <x:v>3.5</x:v>
      </x:c>
      <x:c r="M38" s="19" t="n">
        <x:f>D38+J38+F38*L38</x:f>
        <x:v>93</x:v>
      </x:c>
    </x:row>
    <x:row r="39" ht="25" customHeight="1">
      <x:c r="A39" s="3" t="str">
        <x:v>白小帅子</x:v>
      </x:c>
      <x:c r="B39" s="3" t="str">
        <x:v>shuaizi</x:v>
      </x:c>
      <x:c r="C39" s="3" t="str">
        <x:v>疲劳上限</x:v>
      </x:c>
      <x:c r="D39" s="23" t="n">
        <x:v>102</x:v>
      </x:c>
      <x:c r="E39" s="23" t="n">
        <x:v>0</x:v>
      </x:c>
      <x:c r="F39" s="23" t="n">
        <x:v>5</x:v>
      </x:c>
      <x:c r="G39" s="23" t="n">
        <x:v>0</x:v>
      </x:c>
      <x:c r="H39" s="23" t="n">
        <x:v>0</x:v>
      </x:c>
      <x:c r="I39" s="23" t="n">
        <x:v>1</x:v>
      </x:c>
      <x:c r="J39" s="19" t="n">
        <x:f>IF(I39=1,G39,H39)</x:f>
        <x:v>0</x:v>
      </x:c>
      <x:c r="K39" s="19" t="n">
        <x:v>3</x:v>
      </x:c>
      <x:c r="L39" s="19" t="n">
        <x:f>K39+E39*0.5</x:f>
        <x:v>3</x:v>
      </x:c>
      <x:c r="M39" s="19" t="n">
        <x:f>D39+J39+F39*L39</x:f>
        <x:v>117</x:v>
      </x:c>
    </x:row>
    <x:row r="40" ht="25" customHeight="1">
      <x:c r="A40" s="10" t="str">
        <x:v>白小帅子</x:v>
      </x:c>
      <x:c r="B40" s="10" t="str">
        <x:v>shuaizi</x:v>
      </x:c>
      <x:c r="C40" s="10" t="str">
        <x:v>决心</x:v>
      </x:c>
      <x:c r="D40" s="23" t="n">
        <x:v>45</x:v>
      </x:c>
      <x:c r="E40" s="23" t="n">
        <x:v>1</x:v>
      </x:c>
      <x:c r="F40" s="23" t="n">
        <x:v>7</x:v>
      </x:c>
      <x:c r="G40" s="23" t="n">
        <x:v>0</x:v>
      </x:c>
      <x:c r="H40" s="23" t="n">
        <x:v>4</x:v>
      </x:c>
      <x:c r="I40" s="23" t="n">
        <x:v>1</x:v>
      </x:c>
      <x:c r="J40" s="19" t="n">
        <x:f>IF(I40=1,G40,H40)</x:f>
        <x:v>0</x:v>
      </x:c>
      <x:c r="K40" s="19" t="n">
        <x:v>3</x:v>
      </x:c>
      <x:c r="L40" s="19" t="n">
        <x:f>K40+E40*0.5</x:f>
        <x:v>3.5</x:v>
      </x:c>
      <x:c r="M40" s="19" t="n">
        <x:f>D40+J40+F40*L40</x:f>
        <x:v>69.5</x:v>
      </x:c>
    </x:row>
    <x:row r="41" ht="25" customHeight="1">
      <x:c r="A41" s="3" t="str">
        <x:v>白小帅子</x:v>
      </x:c>
      <x:c r="B41" s="3" t="str">
        <x:v>shuaizi</x:v>
      </x:c>
      <x:c r="C41" s="3" t="str">
        <x:v>先攻</x:v>
      </x:c>
      <x:c r="D41" s="23" t="n">
        <x:v>96</x:v>
      </x:c>
      <x:c r="E41" s="23" t="n">
        <x:v>0</x:v>
      </x:c>
      <x:c r="F41" s="23" t="n">
        <x:v>0</x:v>
      </x:c>
      <x:c r="G41" s="23" t="n">
        <x:v>0</x:v>
      </x:c>
      <x:c r="H41" s="23" t="n">
        <x:v>4</x:v>
      </x:c>
      <x:c r="I41" s="23" t="n">
        <x:v>1</x:v>
      </x:c>
      <x:c r="J41" s="19" t="n">
        <x:f>IF(I41=1,G41,H41)</x:f>
        <x:v>0</x:v>
      </x:c>
      <x:c r="K41" s="19" t="n">
        <x:v>4</x:v>
      </x:c>
      <x:c r="L41" s="19" t="n">
        <x:f>K41+E41*0.5</x:f>
        <x:v>4</x:v>
      </x:c>
      <x:c r="M41" s="19" t="n">
        <x:f>D41+J41+F41*L41</x:f>
        <x:v>96</x:v>
      </x:c>
    </x:row>
    <x:row r="42" ht="25" customHeight="1">
      <x:c r="A42" s="10" t="str">
        <x:v>白小帅子</x:v>
      </x:c>
      <x:c r="B42" s="10" t="str">
        <x:v>shuaizi</x:v>
      </x:c>
      <x:c r="C42" s="10" t="str">
        <x:v>近攻</x:v>
      </x:c>
      <x:c r="D42" s="23" t="n">
        <x:v>54</x:v>
      </x:c>
      <x:c r="E42" s="23" t="n">
        <x:v>0</x:v>
      </x:c>
      <x:c r="F42" s="23" t="n">
        <x:v>0</x:v>
      </x:c>
      <x:c r="G42" s="23" t="n">
        <x:v>0</x:v>
      </x:c>
      <x:c r="H42" s="23" t="n">
        <x:v>0</x:v>
      </x:c>
      <x:c r="I42" s="23" t="n">
        <x:v>1</x:v>
      </x:c>
      <x:c r="J42" s="19" t="n">
        <x:f>IF(I42=1,G42,H42)</x:f>
        <x:v>0</x:v>
      </x:c>
      <x:c r="K42" s="19" t="n">
        <x:v>2</x:v>
      </x:c>
      <x:c r="L42" s="19" t="n">
        <x:f>K42+E42*0.5</x:f>
        <x:v>2</x:v>
      </x:c>
      <x:c r="M42" s="19" t="n">
        <x:f>D42+J42+F42*L42</x:f>
        <x:v>54</x:v>
      </x:c>
    </x:row>
    <x:row r="43" ht="25" customHeight="1">
      <x:c r="A43" s="3" t="str">
        <x:v>白小帅子</x:v>
      </x:c>
      <x:c r="B43" s="3" t="str">
        <x:v>shuaizi</x:v>
      </x:c>
      <x:c r="C43" s="3" t="str">
        <x:v>远攻</x:v>
      </x:c>
      <x:c r="D43" s="23" t="n">
        <x:v>30</x:v>
      </x:c>
      <x:c r="E43" s="23" t="n">
        <x:v>0</x:v>
      </x:c>
      <x:c r="F43" s="23" t="n">
        <x:v>0</x:v>
      </x:c>
      <x:c r="G43" s="23" t="n">
        <x:v>0</x:v>
      </x:c>
      <x:c r="H43" s="23" t="n">
        <x:v>0</x:v>
      </x:c>
      <x:c r="I43" s="23" t="n">
        <x:v>1</x:v>
      </x:c>
      <x:c r="J43" s="19" t="n">
        <x:f>IF(I43=1,G43,H43)</x:f>
        <x:v>0</x:v>
      </x:c>
      <x:c r="K43" s="19" t="n">
        <x:v>3</x:v>
      </x:c>
      <x:c r="L43" s="19" t="n">
        <x:f>K43+E43*0.5</x:f>
        <x:v>3</x:v>
      </x:c>
      <x:c r="M43" s="19" t="n">
        <x:f>D43+J43+F43*L43</x:f>
        <x:v>30</x:v>
      </x:c>
    </x:row>
    <x:row r="44" ht="25" customHeight="1">
      <x:c r="A44" s="10" t="str">
        <x:v>白小帅子</x:v>
      </x:c>
      <x:c r="B44" s="10" t="str">
        <x:v>shuaizi</x:v>
      </x:c>
      <x:c r="C44" s="10" t="str">
        <x:v>近防</x:v>
      </x:c>
      <x:c r="D44" s="23" t="n">
        <x:v>7</x:v>
      </x:c>
      <x:c r="E44" s="23" t="n">
        <x:v>2</x:v>
      </x:c>
      <x:c r="F44" s="23" t="n">
        <x:v>10</x:v>
      </x:c>
      <x:c r="G44" s="23" t="n">
        <x:v>3</x:v>
      </x:c>
      <x:c r="H44" s="23" t="n">
        <x:v>0</x:v>
      </x:c>
      <x:c r="I44" s="23" t="n">
        <x:v>1</x:v>
      </x:c>
      <x:c r="J44" s="19" t="n">
        <x:f>IF(I44=1,G44,H44)</x:f>
        <x:v>3</x:v>
      </x:c>
      <x:c r="K44" s="19" t="n">
        <x:v>2</x:v>
      </x:c>
      <x:c r="L44" s="19" t="n">
        <x:f>K44+E44*0.5</x:f>
        <x:v>3</x:v>
      </x:c>
      <x:c r="M44" s="19" t="n">
        <x:f>D44+J44+F44*L44</x:f>
        <x:v>40</x:v>
      </x:c>
    </x:row>
    <x:row r="45" ht="25" customHeight="1">
      <x:c r="A45" s="3" t="str">
        <x:v>白小帅子</x:v>
      </x:c>
      <x:c r="B45" s="3" t="str">
        <x:v>shuaizi</x:v>
      </x:c>
      <x:c r="C45" s="3" t="str">
        <x:v>远防</x:v>
      </x:c>
      <x:c r="D45" s="23" t="n">
        <x:v>3</x:v>
      </x:c>
      <x:c r="E45" s="23" t="n">
        <x:v>0</x:v>
      </x:c>
      <x:c r="F45" s="23" t="n">
        <x:v>0</x:v>
      </x:c>
      <x:c r="G45" s="23" t="n">
        <x:v>0</x:v>
      </x:c>
      <x:c r="H45" s="23" t="n">
        <x:v>0</x:v>
      </x:c>
      <x:c r="I45" s="23" t="n">
        <x:v>1</x:v>
      </x:c>
      <x:c r="J45" s="19" t="n">
        <x:f>IF(I45=1,G45,H45)</x:f>
        <x:v>0</x:v>
      </x:c>
      <x:c r="K45" s="19" t="n">
        <x:v>3</x:v>
      </x:c>
      <x:c r="L45" s="19" t="n">
        <x:f>K45+E45*0.5</x:f>
        <x:v>3</x:v>
      </x:c>
      <x:c r="M45" s="19" t="n">
        <x:f>D45+J45+F45*L45</x:f>
        <x:v>3</x:v>
      </x:c>
    </x:row>
    <x:row r="46" ht="25" customHeight="1">
      <x:c r="A46" s="10" t="str">
        <x:v>李李超欧</x:v>
      </x:c>
      <x:c r="B46" s="10" t="str">
        <x:v>lili</x:v>
      </x:c>
      <x:c r="C46" s="10" t="str">
        <x:v>生命</x:v>
      </x:c>
      <x:c r="D46" s="23" t="n">
        <x:v>52</x:v>
      </x:c>
      <x:c r="E46" s="23" t="n">
        <x:v>0</x:v>
      </x:c>
      <x:c r="F46" s="23" t="n">
        <x:v>7</x:v>
      </x:c>
      <x:c r="G46" s="23" t="n">
        <x:v>0</x:v>
      </x:c>
      <x:c r="H46" s="23" t="n">
        <x:v>0</x:v>
      </x:c>
      <x:c r="I46" s="23" t="n">
        <x:v>1</x:v>
      </x:c>
      <x:c r="J46" s="19" t="n">
        <x:f>IF(I46=1,G46,H46)</x:f>
        <x:v>0</x:v>
      </x:c>
      <x:c r="K46" s="19" t="n">
        <x:v>3</x:v>
      </x:c>
      <x:c r="L46" s="19" t="n">
        <x:f>K46+E46*0.5</x:f>
        <x:v>3</x:v>
      </x:c>
      <x:c r="M46" s="19" t="n">
        <x:f>D46+J46+F46*L46</x:f>
        <x:v>73</x:v>
      </x:c>
    </x:row>
    <x:row r="47" ht="25" customHeight="1">
      <x:c r="A47" s="3" t="str">
        <x:v>李李超欧</x:v>
      </x:c>
      <x:c r="B47" s="3" t="str">
        <x:v>lili</x:v>
      </x:c>
      <x:c r="C47" s="3" t="str">
        <x:v>疲劳上限</x:v>
      </x:c>
      <x:c r="D47" s="23" t="n">
        <x:v>95</x:v>
      </x:c>
      <x:c r="E47" s="23" t="n">
        <x:v>0</x:v>
      </x:c>
      <x:c r="F47" s="23" t="n">
        <x:v>4</x:v>
      </x:c>
      <x:c r="G47" s="23" t="n">
        <x:v>0</x:v>
      </x:c>
      <x:c r="H47" s="23" t="n">
        <x:v>0</x:v>
      </x:c>
      <x:c r="I47" s="23" t="n">
        <x:v>1</x:v>
      </x:c>
      <x:c r="J47" s="19" t="n">
        <x:f>IF(I47=1,G47,H47)</x:f>
        <x:v>0</x:v>
      </x:c>
      <x:c r="K47" s="19" t="n">
        <x:v>3</x:v>
      </x:c>
      <x:c r="L47" s="19" t="n">
        <x:f>K47+E47*0.5</x:f>
        <x:v>3</x:v>
      </x:c>
      <x:c r="M47" s="19" t="n">
        <x:f>D47+J47+F47*L47</x:f>
        <x:v>107</x:v>
      </x:c>
    </x:row>
    <x:row r="48" ht="25" customHeight="1">
      <x:c r="A48" s="10" t="str">
        <x:v>李李超欧</x:v>
      </x:c>
      <x:c r="B48" s="10" t="str">
        <x:v>lili</x:v>
      </x:c>
      <x:c r="C48" s="10" t="str">
        <x:v>决心</x:v>
      </x:c>
      <x:c r="D48" s="23" t="n">
        <x:v>38</x:v>
      </x:c>
      <x:c r="E48" s="23" t="n">
        <x:v>1</x:v>
      </x:c>
      <x:c r="F48" s="23" t="n">
        <x:v>5</x:v>
      </x:c>
      <x:c r="G48" s="23" t="n">
        <x:v>0</x:v>
      </x:c>
      <x:c r="H48" s="23" t="n">
        <x:v>0</x:v>
      </x:c>
      <x:c r="I48" s="23" t="n">
        <x:v>1</x:v>
      </x:c>
      <x:c r="J48" s="19" t="n">
        <x:f>IF(I48=1,G48,H48)</x:f>
        <x:v>0</x:v>
      </x:c>
      <x:c r="K48" s="19" t="n">
        <x:v>3</x:v>
      </x:c>
      <x:c r="L48" s="19" t="n">
        <x:f>K48+E48*0.5</x:f>
        <x:v>3.5</x:v>
      </x:c>
      <x:c r="M48" s="19" t="n">
        <x:f>D48+J48+F48*L48</x:f>
        <x:v>55.5</x:v>
      </x:c>
    </x:row>
    <x:row r="49" ht="25" customHeight="1">
      <x:c r="A49" s="3" t="str">
        <x:v>李李超欧</x:v>
      </x:c>
      <x:c r="B49" s="3" t="str">
        <x:v>lili</x:v>
      </x:c>
      <x:c r="C49" s="3" t="str">
        <x:v>先攻</x:v>
      </x:c>
      <x:c r="D49" s="23" t="n">
        <x:v>116</x:v>
      </x:c>
      <x:c r="E49" s="23" t="n">
        <x:v>1</x:v>
      </x:c>
      <x:c r="F49" s="23" t="n">
        <x:v>0</x:v>
      </x:c>
      <x:c r="G49" s="23" t="n">
        <x:v>3</x:v>
      </x:c>
      <x:c r="H49" s="23" t="n">
        <x:v>0</x:v>
      </x:c>
      <x:c r="I49" s="23" t="n">
        <x:v>1</x:v>
      </x:c>
      <x:c r="J49" s="19" t="n">
        <x:f>IF(I49=1,G49,H49)</x:f>
        <x:v>3</x:v>
      </x:c>
      <x:c r="K49" s="19" t="n">
        <x:v>4</x:v>
      </x:c>
      <x:c r="L49" s="19" t="n">
        <x:f>K49+E49*0.5</x:f>
        <x:v>4.5</x:v>
      </x:c>
      <x:c r="M49" s="19" t="n">
        <x:f>D49+J49+F49*L49</x:f>
        <x:v>119</x:v>
      </x:c>
    </x:row>
    <x:row r="50" ht="25" customHeight="1">
      <x:c r="A50" s="10" t="str">
        <x:v>李李超欧</x:v>
      </x:c>
      <x:c r="B50" s="10" t="str">
        <x:v>lili</x:v>
      </x:c>
      <x:c r="C50" s="10" t="str">
        <x:v>近攻</x:v>
      </x:c>
      <x:c r="D50" s="23" t="n">
        <x:v>46</x:v>
      </x:c>
      <x:c r="E50" s="23" t="n">
        <x:v>0</x:v>
      </x:c>
      <x:c r="F50" s="23" t="n">
        <x:v>0</x:v>
      </x:c>
      <x:c r="G50" s="23" t="n">
        <x:v>0</x:v>
      </x:c>
      <x:c r="H50" s="23" t="n">
        <x:v>0</x:v>
      </x:c>
      <x:c r="I50" s="23" t="n">
        <x:v>1</x:v>
      </x:c>
      <x:c r="J50" s="19" t="n">
        <x:f>IF(I50=1,G50,H50)</x:f>
        <x:v>0</x:v>
      </x:c>
      <x:c r="K50" s="19" t="n">
        <x:v>2</x:v>
      </x:c>
      <x:c r="L50" s="19" t="n">
        <x:f>K50+E50*0.5</x:f>
        <x:v>2</x:v>
      </x:c>
      <x:c r="M50" s="19" t="n">
        <x:f>D50+J50+F50*L50</x:f>
        <x:v>46</x:v>
      </x:c>
    </x:row>
    <x:row r="51" ht="25" customHeight="1">
      <x:c r="A51" s="3" t="str">
        <x:v>李李超欧</x:v>
      </x:c>
      <x:c r="B51" s="3" t="str">
        <x:v>lili</x:v>
      </x:c>
      <x:c r="C51" s="3" t="str">
        <x:v>远攻</x:v>
      </x:c>
      <x:c r="D51" s="23" t="n">
        <x:v>55</x:v>
      </x:c>
      <x:c r="E51" s="23" t="n">
        <x:v>2</x:v>
      </x:c>
      <x:c r="F51" s="23" t="n">
        <x:v>10</x:v>
      </x:c>
      <x:c r="G51" s="23" t="n">
        <x:v>3</x:v>
      </x:c>
      <x:c r="H51" s="23" t="n">
        <x:v>0</x:v>
      </x:c>
      <x:c r="I51" s="23" t="n">
        <x:v>1</x:v>
      </x:c>
      <x:c r="J51" s="19" t="n">
        <x:f>IF(I51=1,G51,H51)</x:f>
        <x:v>3</x:v>
      </x:c>
      <x:c r="K51" s="19" t="n">
        <x:v>3</x:v>
      </x:c>
      <x:c r="L51" s="19" t="n">
        <x:f>K51+E51*0.5</x:f>
        <x:v>4</x:v>
      </x:c>
      <x:c r="M51" s="19" t="n">
        <x:f>D51+J51+F51*L51</x:f>
        <x:v>98</x:v>
      </x:c>
    </x:row>
    <x:row r="52" ht="25" customHeight="1">
      <x:c r="A52" s="10" t="str">
        <x:v>李李超欧</x:v>
      </x:c>
      <x:c r="B52" s="10" t="str">
        <x:v>lili</x:v>
      </x:c>
      <x:c r="C52" s="10" t="str">
        <x:v>近防</x:v>
      </x:c>
      <x:c r="D52" s="23" t="n">
        <x:v>1</x:v>
      </x:c>
      <x:c r="E52" s="23" t="n">
        <x:v>0</x:v>
      </x:c>
      <x:c r="F52" s="23" t="n">
        <x:v>0</x:v>
      </x:c>
      <x:c r="G52" s="23" t="n">
        <x:v>0</x:v>
      </x:c>
      <x:c r="H52" s="23" t="n">
        <x:v>2</x:v>
      </x:c>
      <x:c r="I52" s="23" t="n">
        <x:v>1</x:v>
      </x:c>
      <x:c r="J52" s="19" t="n">
        <x:f>IF(I52=1,G52,H52)</x:f>
        <x:v>0</x:v>
      </x:c>
      <x:c r="K52" s="19" t="n">
        <x:v>2</x:v>
      </x:c>
      <x:c r="L52" s="19" t="n">
        <x:f>K52+E52*0.5</x:f>
        <x:v>2</x:v>
      </x:c>
      <x:c r="M52" s="19" t="n">
        <x:f>D52+J52+F52*L52</x:f>
        <x:v>1</x:v>
      </x:c>
    </x:row>
    <x:row r="53" ht="25" customHeight="1">
      <x:c r="A53" s="3" t="str">
        <x:v>李李超欧</x:v>
      </x:c>
      <x:c r="B53" s="3" t="str">
        <x:v>lili</x:v>
      </x:c>
      <x:c r="C53" s="3" t="str">
        <x:v>远防</x:v>
      </x:c>
      <x:c r="D53" s="23" t="n">
        <x:v>5</x:v>
      </x:c>
      <x:c r="E53" s="23" t="n">
        <x:v>0</x:v>
      </x:c>
      <x:c r="F53" s="23" t="n">
        <x:v>4</x:v>
      </x:c>
      <x:c r="G53" s="23" t="n">
        <x:v>0</x:v>
      </x:c>
      <x:c r="H53" s="23" t="n">
        <x:v>3</x:v>
      </x:c>
      <x:c r="I53" s="23" t="n">
        <x:v>1</x:v>
      </x:c>
      <x:c r="J53" s="19" t="n">
        <x:f>IF(I53=1,G53,H53)</x:f>
        <x:v>0</x:v>
      </x:c>
      <x:c r="K53" s="19" t="n">
        <x:v>3</x:v>
      </x:c>
      <x:c r="L53" s="19" t="n">
        <x:f>K53+E53*0.5</x:f>
        <x:v>3</x:v>
      </x:c>
      <x:c r="M53" s="19" t="n">
        <x:f>D53+J53+F53*L53</x:f>
        <x:v>17</x:v>
      </x:c>
    </x:row>
    <x:row r="54" ht="25" customHeight="1">
      <x:c r="A54" s="10" t="str">
        <x:v>小月牙</x:v>
      </x:c>
      <x:c r="B54" s="10" t="str">
        <x:v>xiaoyueya</x:v>
      </x:c>
      <x:c r="C54" s="10" t="str">
        <x:v>生命</x:v>
      </x:c>
      <x:c r="D54" s="23" t="n">
        <x:v>54</x:v>
      </x:c>
      <x:c r="E54" s="23" t="n">
        <x:v>1</x:v>
      </x:c>
      <x:c r="F54" s="23" t="n">
        <x:v>7</x:v>
      </x:c>
      <x:c r="G54" s="23" t="n">
        <x:v>0</x:v>
      </x:c>
      <x:c r="H54" s="23" t="n">
        <x:v>0</x:v>
      </x:c>
      <x:c r="I54" s="23" t="n">
        <x:v>1</x:v>
      </x:c>
      <x:c r="J54" s="19" t="n">
        <x:f>IF(I54=1,G54,H54)</x:f>
        <x:v>0</x:v>
      </x:c>
      <x:c r="K54" s="19" t="n">
        <x:v>3</x:v>
      </x:c>
      <x:c r="L54" s="19" t="n">
        <x:f>K54+E54*0.5</x:f>
        <x:v>3.5</x:v>
      </x:c>
      <x:c r="M54" s="19" t="n">
        <x:f>D54+J54+F54*L54</x:f>
        <x:v>78.5</x:v>
      </x:c>
    </x:row>
    <x:row r="55" ht="25" customHeight="1">
      <x:c r="A55" s="3" t="str">
        <x:v>小月牙</x:v>
      </x:c>
      <x:c r="B55" s="3" t="str">
        <x:v>xiaoyueya</x:v>
      </x:c>
      <x:c r="C55" s="3" t="str">
        <x:v>疲劳上限</x:v>
      </x:c>
      <x:c r="D55" s="23" t="n">
        <x:v>99</x:v>
      </x:c>
      <x:c r="E55" s="23" t="n">
        <x:v>0</x:v>
      </x:c>
      <x:c r="F55" s="23" t="n">
        <x:v>3</x:v>
      </x:c>
      <x:c r="G55" s="23" t="n">
        <x:v>0</x:v>
      </x:c>
      <x:c r="H55" s="23" t="n">
        <x:v>5</x:v>
      </x:c>
      <x:c r="I55" s="23" t="n">
        <x:v>1</x:v>
      </x:c>
      <x:c r="J55" s="19" t="n">
        <x:f>IF(I55=1,G55,H55)</x:f>
        <x:v>0</x:v>
      </x:c>
      <x:c r="K55" s="19" t="n">
        <x:v>3</x:v>
      </x:c>
      <x:c r="L55" s="19" t="n">
        <x:f>K55+E55*0.5</x:f>
        <x:v>3</x:v>
      </x:c>
      <x:c r="M55" s="19" t="n">
        <x:f>D55+J55+F55*L55</x:f>
        <x:v>108</x:v>
      </x:c>
    </x:row>
    <x:row r="56" ht="25" customHeight="1">
      <x:c r="A56" s="10" t="str">
        <x:v>小月牙</x:v>
      </x:c>
      <x:c r="B56" s="10" t="str">
        <x:v>xiaoyueya</x:v>
      </x:c>
      <x:c r="C56" s="10" t="str">
        <x:v>决心</x:v>
      </x:c>
      <x:c r="D56" s="23" t="n">
        <x:v>36</x:v>
      </x:c>
      <x:c r="E56" s="23" t="n">
        <x:v>0</x:v>
      </x:c>
      <x:c r="F56" s="23" t="n">
        <x:v>4</x:v>
      </x:c>
      <x:c r="G56" s="23" t="n">
        <x:v>0</x:v>
      </x:c>
      <x:c r="H56" s="23" t="n">
        <x:v>0</x:v>
      </x:c>
      <x:c r="I56" s="23" t="n">
        <x:v>1</x:v>
      </x:c>
      <x:c r="J56" s="19" t="n">
        <x:f>IF(I56=1,G56,H56)</x:f>
        <x:v>0</x:v>
      </x:c>
      <x:c r="K56" s="19" t="n">
        <x:v>3</x:v>
      </x:c>
      <x:c r="L56" s="19" t="n">
        <x:f>K56+E56*0.5</x:f>
        <x:v>3</x:v>
      </x:c>
      <x:c r="M56" s="19" t="n">
        <x:f>D56+J56+F56*L56</x:f>
        <x:v>48</x:v>
      </x:c>
    </x:row>
    <x:row r="57" ht="25" customHeight="1">
      <x:c r="A57" s="3" t="str">
        <x:v>小月牙</x:v>
      </x:c>
      <x:c r="B57" s="3" t="str">
        <x:v>xiaoyueya</x:v>
      </x:c>
      <x:c r="C57" s="3" t="str">
        <x:v>先攻</x:v>
      </x:c>
      <x:c r="D57" s="23" t="n">
        <x:v>115</x:v>
      </x:c>
      <x:c r="E57" s="23" t="n">
        <x:v>2</x:v>
      </x:c>
      <x:c r="F57" s="23" t="n">
        <x:v>0</x:v>
      </x:c>
      <x:c r="G57" s="23" t="n">
        <x:v>4</x:v>
      </x:c>
      <x:c r="H57" s="23" t="n">
        <x:v>0</x:v>
      </x:c>
      <x:c r="I57" s="23" t="n">
        <x:v>1</x:v>
      </x:c>
      <x:c r="J57" s="19" t="n">
        <x:f>IF(I57=1,G57,H57)</x:f>
        <x:v>4</x:v>
      </x:c>
      <x:c r="K57" s="19" t="n">
        <x:v>4</x:v>
      </x:c>
      <x:c r="L57" s="19" t="n">
        <x:f>K57+E57*0.5</x:f>
        <x:v>5</x:v>
      </x:c>
      <x:c r="M57" s="19" t="n">
        <x:f>D57+J57+F57*L57</x:f>
        <x:v>119</x:v>
      </x:c>
    </x:row>
    <x:row r="58" ht="25" customHeight="1">
      <x:c r="A58" s="10" t="str">
        <x:v>小月牙</x:v>
      </x:c>
      <x:c r="B58" s="10" t="str">
        <x:v>xiaoyueya</x:v>
      </x:c>
      <x:c r="C58" s="10" t="str">
        <x:v>近攻</x:v>
      </x:c>
      <x:c r="D58" s="23" t="n">
        <x:v>49</x:v>
      </x:c>
      <x:c r="E58" s="23" t="n">
        <x:v>0</x:v>
      </x:c>
      <x:c r="F58" s="23" t="n">
        <x:v>0</x:v>
      </x:c>
      <x:c r="G58" s="23" t="n">
        <x:v>0</x:v>
      </x:c>
      <x:c r="H58" s="23" t="n">
        <x:v>2</x:v>
      </x:c>
      <x:c r="I58" s="23" t="n">
        <x:v>1</x:v>
      </x:c>
      <x:c r="J58" s="19" t="n">
        <x:f>IF(I58=1,G58,H58)</x:f>
        <x:v>0</x:v>
      </x:c>
      <x:c r="K58" s="19" t="n">
        <x:v>2</x:v>
      </x:c>
      <x:c r="L58" s="19" t="n">
        <x:f>K58+E58*0.5</x:f>
        <x:v>2</x:v>
      </x:c>
      <x:c r="M58" s="19" t="n">
        <x:f>D58+J58+F58*L58</x:f>
        <x:v>49</x:v>
      </x:c>
    </x:row>
    <x:row r="59" ht="25" customHeight="1">
      <x:c r="A59" s="3" t="str">
        <x:v>小月牙</x:v>
      </x:c>
      <x:c r="B59" s="3" t="str">
        <x:v>xiaoyueya</x:v>
      </x:c>
      <x:c r="C59" s="3" t="str">
        <x:v>远攻</x:v>
      </x:c>
      <x:c r="D59" s="23" t="n">
        <x:v>51</x:v>
      </x:c>
      <x:c r="E59" s="23" t="n">
        <x:v>2</x:v>
      </x:c>
      <x:c r="F59" s="23" t="n">
        <x:v>10</x:v>
      </x:c>
      <x:c r="G59" s="23" t="n">
        <x:v>2</x:v>
      </x:c>
      <x:c r="H59" s="23" t="n">
        <x:v>0</x:v>
      </x:c>
      <x:c r="I59" s="23" t="n">
        <x:v>1</x:v>
      </x:c>
      <x:c r="J59" s="19" t="n">
        <x:f>IF(I59=1,G59,H59)</x:f>
        <x:v>2</x:v>
      </x:c>
      <x:c r="K59" s="19" t="n">
        <x:v>3</x:v>
      </x:c>
      <x:c r="L59" s="19" t="n">
        <x:f>K59+E59*0.5</x:f>
        <x:v>4</x:v>
      </x:c>
      <x:c r="M59" s="19" t="n">
        <x:f>D59+J59+F59*L59</x:f>
        <x:v>93</x:v>
      </x:c>
    </x:row>
    <x:row r="60" ht="25" customHeight="1">
      <x:c r="A60" s="10" t="str">
        <x:v>小月牙</x:v>
      </x:c>
      <x:c r="B60" s="10" t="str">
        <x:v>xiaoyueya</x:v>
      </x:c>
      <x:c r="C60" s="10" t="str">
        <x:v>近防</x:v>
      </x:c>
      <x:c r="D60" s="23" t="n">
        <x:v>3</x:v>
      </x:c>
      <x:c r="E60" s="23" t="n">
        <x:v>0</x:v>
      </x:c>
      <x:c r="F60" s="23" t="n">
        <x:v>6</x:v>
      </x:c>
      <x:c r="G60" s="23" t="n">
        <x:v>0</x:v>
      </x:c>
      <x:c r="H60" s="23" t="n">
        <x:v>0</x:v>
      </x:c>
      <x:c r="I60" s="23" t="n">
        <x:v>1</x:v>
      </x:c>
      <x:c r="J60" s="19" t="n">
        <x:f>IF(I60=1,G60,H60)</x:f>
        <x:v>0</x:v>
      </x:c>
      <x:c r="K60" s="19" t="n">
        <x:v>2</x:v>
      </x:c>
      <x:c r="L60" s="19" t="n">
        <x:f>K60+E60*0.5</x:f>
        <x:v>2</x:v>
      </x:c>
      <x:c r="M60" s="19" t="n">
        <x:f>D60+J60+F60*L60</x:f>
        <x:v>15</x:v>
      </x:c>
    </x:row>
    <x:row r="61" ht="25" customHeight="1">
      <x:c r="A61" s="3" t="str">
        <x:v>小月牙</x:v>
      </x:c>
      <x:c r="B61" s="3" t="str">
        <x:v>xiaoyueya</x:v>
      </x:c>
      <x:c r="C61" s="3" t="str">
        <x:v>远防</x:v>
      </x:c>
      <x:c r="D61" s="23" t="n">
        <x:v>5</x:v>
      </x:c>
      <x:c r="E61" s="23" t="n">
        <x:v>0</x:v>
      </x:c>
      <x:c r="F61" s="23" t="n">
        <x:v>0</x:v>
      </x:c>
      <x:c r="G61" s="23" t="n">
        <x:v>0</x:v>
      </x:c>
      <x:c r="H61" s="23" t="n">
        <x:v>0</x:v>
      </x:c>
      <x:c r="I61" s="23" t="n">
        <x:v>1</x:v>
      </x:c>
      <x:c r="J61" s="19" t="n">
        <x:f>IF(I61=1,G61,H61)</x:f>
        <x:v>0</x:v>
      </x:c>
      <x:c r="K61" s="19" t="n">
        <x:v>3</x:v>
      </x:c>
      <x:c r="L61" s="19" t="n">
        <x:f>K61+E61*0.5</x:f>
        <x:v>3</x:v>
      </x:c>
      <x:c r="M61" s="19" t="n">
        <x:f>D61+J61+F61*L61</x:f>
        <x:v>5</x:v>
      </x:c>
    </x:row>
    <x:row r="62" ht="25" customHeight="1">
      <x:c r="A62" s="10" t="str">
        <x:v>余初九</x:v>
      </x:c>
      <x:c r="B62" s="10" t="str">
        <x:v>yuchujiu</x:v>
      </x:c>
      <x:c r="C62" s="10" t="str">
        <x:v>生命</x:v>
      </x:c>
      <x:c r="D62" s="23" t="n">
        <x:v>56</x:v>
      </x:c>
      <x:c r="E62" s="23" t="n">
        <x:v>0</x:v>
      </x:c>
      <x:c r="F62" s="23" t="n">
        <x:v>5</x:v>
      </x:c>
      <x:c r="G62" s="23" t="n">
        <x:v>0</x:v>
      </x:c>
      <x:c r="H62" s="23" t="n">
        <x:v>0</x:v>
      </x:c>
      <x:c r="I62" s="23" t="n">
        <x:v>1</x:v>
      </x:c>
      <x:c r="J62" s="19" t="n">
        <x:f>IF(I62=1,G62,H62)</x:f>
        <x:v>0</x:v>
      </x:c>
      <x:c r="K62" s="19" t="n">
        <x:v>3</x:v>
      </x:c>
      <x:c r="L62" s="19" t="n">
        <x:f>K62+E62*0.5</x:f>
        <x:v>3</x:v>
      </x:c>
      <x:c r="M62" s="19" t="n">
        <x:f>D62+J62+F62*L62</x:f>
        <x:v>71</x:v>
      </x:c>
    </x:row>
    <x:row r="63" ht="25" customHeight="1">
      <x:c r="A63" s="3" t="str">
        <x:v>余初九</x:v>
      </x:c>
      <x:c r="B63" s="3" t="str">
        <x:v>yuchujiu</x:v>
      </x:c>
      <x:c r="C63" s="3" t="str">
        <x:v>疲劳上限</x:v>
      </x:c>
      <x:c r="D63" s="23" t="n">
        <x:v>99</x:v>
      </x:c>
      <x:c r="E63" s="23" t="n">
        <x:v>0</x:v>
      </x:c>
      <x:c r="F63" s="23" t="n">
        <x:v>0</x:v>
      </x:c>
      <x:c r="G63" s="23" t="n">
        <x:v>0</x:v>
      </x:c>
      <x:c r="H63" s="23" t="n">
        <x:v>0</x:v>
      </x:c>
      <x:c r="I63" s="23" t="n">
        <x:v>1</x:v>
      </x:c>
      <x:c r="J63" s="19" t="n">
        <x:f>IF(I63=1,G63,H63)</x:f>
        <x:v>0</x:v>
      </x:c>
      <x:c r="K63" s="19" t="n">
        <x:v>3</x:v>
      </x:c>
      <x:c r="L63" s="19" t="n">
        <x:f>K63+E63*0.5</x:f>
        <x:v>3</x:v>
      </x:c>
      <x:c r="M63" s="19" t="n">
        <x:f>D63+J63+F63*L63</x:f>
        <x:v>99</x:v>
      </x:c>
    </x:row>
    <x:row r="64" ht="25" customHeight="1">
      <x:c r="A64" s="10" t="str">
        <x:v>余初九</x:v>
      </x:c>
      <x:c r="B64" s="10" t="str">
        <x:v>yuchujiu</x:v>
      </x:c>
      <x:c r="C64" s="10" t="str">
        <x:v>决心</x:v>
      </x:c>
      <x:c r="D64" s="23" t="n">
        <x:v>45</x:v>
      </x:c>
      <x:c r="E64" s="23" t="n">
        <x:v>0</x:v>
      </x:c>
      <x:c r="F64" s="23" t="n">
        <x:v>3</x:v>
      </x:c>
      <x:c r="G64" s="23" t="n">
        <x:v>4</x:v>
      </x:c>
      <x:c r="H64" s="23" t="n">
        <x:v>0</x:v>
      </x:c>
      <x:c r="I64" s="23" t="n">
        <x:v>1</x:v>
      </x:c>
      <x:c r="J64" s="19" t="n">
        <x:f>IF(I64=1,G64,H64)</x:f>
        <x:v>4</x:v>
      </x:c>
      <x:c r="K64" s="19" t="n">
        <x:v>3</x:v>
      </x:c>
      <x:c r="L64" s="19" t="n">
        <x:f>K64+E64*0.5</x:f>
        <x:v>3</x:v>
      </x:c>
      <x:c r="M64" s="19" t="n">
        <x:f>D64+J64+F64*L64</x:f>
        <x:v>58</x:v>
      </x:c>
    </x:row>
    <x:row r="65" ht="25" customHeight="1">
      <x:c r="A65" s="3" t="str">
        <x:v>余初九</x:v>
      </x:c>
      <x:c r="B65" s="3" t="str">
        <x:v>yuchujiu</x:v>
      </x:c>
      <x:c r="C65" s="3" t="str">
        <x:v>先攻</x:v>
      </x:c>
      <x:c r="D65" s="23" t="n">
        <x:v>117</x:v>
      </x:c>
      <x:c r="E65" s="23" t="n">
        <x:v>2</x:v>
      </x:c>
      <x:c r="F65" s="23" t="n">
        <x:v>2</x:v>
      </x:c>
      <x:c r="G65" s="23" t="n">
        <x:v>0</x:v>
      </x:c>
      <x:c r="H65" s="23" t="n">
        <x:v>4</x:v>
      </x:c>
      <x:c r="I65" s="23" t="n">
        <x:v>1</x:v>
      </x:c>
      <x:c r="J65" s="19" t="n">
        <x:f>IF(I65=1,G65,H65)</x:f>
        <x:v>0</x:v>
      </x:c>
      <x:c r="K65" s="19" t="n">
        <x:v>4</x:v>
      </x:c>
      <x:c r="L65" s="19" t="n">
        <x:f>K65+E65*0.5</x:f>
        <x:v>5</x:v>
      </x:c>
      <x:c r="M65" s="19" t="n">
        <x:f>D65+J65+F65*L65</x:f>
        <x:v>127</x:v>
      </x:c>
    </x:row>
    <x:row r="66" ht="25" customHeight="1">
      <x:c r="A66" s="10" t="str">
        <x:v>余初九</x:v>
      </x:c>
      <x:c r="B66" s="10" t="str">
        <x:v>yuchujiu</x:v>
      </x:c>
      <x:c r="C66" s="10" t="str">
        <x:v>近攻</x:v>
      </x:c>
      <x:c r="D66" s="23" t="n">
        <x:v>55</x:v>
      </x:c>
      <x:c r="E66" s="23" t="n">
        <x:v>2</x:v>
      </x:c>
      <x:c r="F66" s="23" t="n">
        <x:v>10</x:v>
      </x:c>
      <x:c r="G66" s="23" t="n">
        <x:v>0</x:v>
      </x:c>
      <x:c r="H66" s="23" t="n">
        <x:v>0</x:v>
      </x:c>
      <x:c r="I66" s="23" t="n">
        <x:v>1</x:v>
      </x:c>
      <x:c r="J66" s="19" t="n">
        <x:f>IF(I66=1,G66,H66)</x:f>
        <x:v>0</x:v>
      </x:c>
      <x:c r="K66" s="19" t="n">
        <x:v>2</x:v>
      </x:c>
      <x:c r="L66" s="19" t="n">
        <x:f>K66+E66*0.5</x:f>
        <x:v>3</x:v>
      </x:c>
      <x:c r="M66" s="19" t="n">
        <x:f>D66+J66+F66*L66</x:f>
        <x:v>85</x:v>
      </x:c>
    </x:row>
    <x:row r="67" ht="25" customHeight="1">
      <x:c r="A67" s="3" t="str">
        <x:v>余初九</x:v>
      </x:c>
      <x:c r="B67" s="3" t="str">
        <x:v>yuchujiu</x:v>
      </x:c>
      <x:c r="C67" s="3" t="str">
        <x:v>远攻</x:v>
      </x:c>
      <x:c r="D67" s="23" t="n">
        <x:v>36</x:v>
      </x:c>
      <x:c r="E67" s="23" t="n">
        <x:v>0</x:v>
      </x:c>
      <x:c r="F67" s="23" t="n">
        <x:v>0</x:v>
      </x:c>
      <x:c r="G67" s="23" t="n">
        <x:v>0</x:v>
      </x:c>
      <x:c r="H67" s="23" t="n">
        <x:v>2</x:v>
      </x:c>
      <x:c r="I67" s="23" t="n">
        <x:v>1</x:v>
      </x:c>
      <x:c r="J67" s="19" t="n">
        <x:f>IF(I67=1,G67,H67)</x:f>
        <x:v>0</x:v>
      </x:c>
      <x:c r="K67" s="19" t="n">
        <x:v>3</x:v>
      </x:c>
      <x:c r="L67" s="19" t="n">
        <x:f>K67+E67*0.5</x:f>
        <x:v>3</x:v>
      </x:c>
      <x:c r="M67" s="19" t="n">
        <x:f>D67+J67+F67*L67</x:f>
        <x:v>36</x:v>
      </x:c>
    </x:row>
    <x:row r="68" ht="25" customHeight="1">
      <x:c r="A68" s="10" t="str">
        <x:v>余初九</x:v>
      </x:c>
      <x:c r="B68" s="10" t="str">
        <x:v>yuchujiu</x:v>
      </x:c>
      <x:c r="C68" s="10" t="str">
        <x:v>近防</x:v>
      </x:c>
      <x:c r="D68" s="23" t="n">
        <x:v>5</x:v>
      </x:c>
      <x:c r="E68" s="23" t="n">
        <x:v>1</x:v>
      </x:c>
      <x:c r="F68" s="23" t="n">
        <x:v>10</x:v>
      </x:c>
      <x:c r="G68" s="23" t="n">
        <x:v>2</x:v>
      </x:c>
      <x:c r="H68" s="23" t="n">
        <x:v>0</x:v>
      </x:c>
      <x:c r="I68" s="23" t="n">
        <x:v>1</x:v>
      </x:c>
      <x:c r="J68" s="19" t="n">
        <x:f>IF(I68=1,G68,H68)</x:f>
        <x:v>2</x:v>
      </x:c>
      <x:c r="K68" s="19" t="n">
        <x:v>2</x:v>
      </x:c>
      <x:c r="L68" s="19" t="n">
        <x:f>K68+E68*0.5</x:f>
        <x:v>2.5</x:v>
      </x:c>
      <x:c r="M68" s="19" t="n">
        <x:f>D68+J68+F68*L68</x:f>
        <x:v>32</x:v>
      </x:c>
    </x:row>
    <x:row r="69" ht="25" customHeight="1">
      <x:c r="A69" s="3" t="str">
        <x:v>余初九</x:v>
      </x:c>
      <x:c r="B69" s="3" t="str">
        <x:v>yuchujiu</x:v>
      </x:c>
      <x:c r="C69" s="3" t="str">
        <x:v>远防</x:v>
      </x:c>
      <x:c r="D69" s="23" t="n">
        <x:v>5</x:v>
      </x:c>
      <x:c r="E69" s="23" t="n">
        <x:v>0</x:v>
      </x:c>
      <x:c r="F69" s="23" t="n">
        <x:v>0</x:v>
      </x:c>
      <x:c r="G69" s="23" t="n">
        <x:v>0</x:v>
      </x:c>
      <x:c r="H69" s="23" t="n">
        <x:v>0</x:v>
      </x:c>
      <x:c r="I69" s="23" t="n">
        <x:v>1</x:v>
      </x:c>
      <x:c r="J69" s="19" t="n">
        <x:f>IF(I69=1,G69,H69)</x:f>
        <x:v>0</x:v>
      </x:c>
      <x:c r="K69" s="19" t="n">
        <x:v>3</x:v>
      </x:c>
      <x:c r="L69" s="19" t="n">
        <x:f>K69+E69*0.5</x:f>
        <x:v>3</x:v>
      </x:c>
      <x:c r="M69" s="19" t="n">
        <x:f>D69+J69+F69*L69</x:f>
        <x:v>5</x:v>
      </x:c>
    </x:row>
    <x:row r="70" ht="25" customHeight="1">
      <x:c r="A70" s="10" t="str">
        <x:v>小鱼贝壳</x:v>
      </x:c>
      <x:c r="B70" s="10" t="str">
        <x:v>xiaoyubeike</x:v>
      </x:c>
      <x:c r="C70" s="10" t="str">
        <x:v>生命</x:v>
      </x:c>
      <x:c r="D70" s="23" t="n">
        <x:v>65</x:v>
      </x:c>
      <x:c r="E70" s="23" t="n">
        <x:v>2</x:v>
      </x:c>
      <x:c r="F70" s="23" t="n">
        <x:v>4</x:v>
      </x:c>
      <x:c r="G70" s="23" t="n">
        <x:v>3</x:v>
      </x:c>
      <x:c r="H70" s="23" t="n">
        <x:v>3</x:v>
      </x:c>
      <x:c r="I70" s="23" t="n">
        <x:v>1</x:v>
      </x:c>
      <x:c r="J70" s="19" t="n">
        <x:f>IF(I70=1,G70,H70)</x:f>
        <x:v>3</x:v>
      </x:c>
      <x:c r="K70" s="19" t="n">
        <x:v>3</x:v>
      </x:c>
      <x:c r="L70" s="19" t="n">
        <x:f>K70+E70*0.5</x:f>
        <x:v>4</x:v>
      </x:c>
      <x:c r="M70" s="19" t="n">
        <x:f>D70+J70+F70*L70</x:f>
        <x:v>84</x:v>
      </x:c>
    </x:row>
    <x:row r="71" ht="25" customHeight="1">
      <x:c r="A71" s="3" t="str">
        <x:v>小鱼贝壳</x:v>
      </x:c>
      <x:c r="B71" s="3" t="str">
        <x:v>xiaoyubeike</x:v>
      </x:c>
      <x:c r="C71" s="3" t="str">
        <x:v>疲劳上限</x:v>
      </x:c>
      <x:c r="D71" s="23" t="n">
        <x:v>106</x:v>
      </x:c>
      <x:c r="E71" s="23" t="n">
        <x:v>0</x:v>
      </x:c>
      <x:c r="F71" s="23" t="n">
        <x:v>4</x:v>
      </x:c>
      <x:c r="G71" s="23" t="n">
        <x:v>5</x:v>
      </x:c>
      <x:c r="H71" s="23" t="n">
        <x:v>0</x:v>
      </x:c>
      <x:c r="I71" s="23" t="n">
        <x:v>1</x:v>
      </x:c>
      <x:c r="J71" s="19" t="n">
        <x:f>IF(I71=1,G71,H71)</x:f>
        <x:v>5</x:v>
      </x:c>
      <x:c r="K71" s="19" t="n">
        <x:v>3</x:v>
      </x:c>
      <x:c r="L71" s="19" t="n">
        <x:f>K71+E71*0.5</x:f>
        <x:v>3</x:v>
      </x:c>
      <x:c r="M71" s="19" t="n">
        <x:f>D71+J71+F71*L71</x:f>
        <x:v>123</x:v>
      </x:c>
    </x:row>
    <x:row r="72" ht="25" customHeight="1">
      <x:c r="A72" s="10" t="str">
        <x:v>小鱼贝壳</x:v>
      </x:c>
      <x:c r="B72" s="10" t="str">
        <x:v>xiaoyubeike</x:v>
      </x:c>
      <x:c r="C72" s="10" t="str">
        <x:v>决心</x:v>
      </x:c>
      <x:c r="D72" s="23" t="n">
        <x:v>40</x:v>
      </x:c>
      <x:c r="E72" s="23" t="n">
        <x:v>0</x:v>
      </x:c>
      <x:c r="F72" s="23" t="n">
        <x:v>2</x:v>
      </x:c>
      <x:c r="G72" s="23" t="n">
        <x:v>0</x:v>
      </x:c>
      <x:c r="H72" s="23" t="n">
        <x:v>0</x:v>
      </x:c>
      <x:c r="I72" s="23" t="n">
        <x:v>1</x:v>
      </x:c>
      <x:c r="J72" s="19" t="n">
        <x:f>IF(I72=1,G72,H72)</x:f>
        <x:v>0</x:v>
      </x:c>
      <x:c r="K72" s="19" t="n">
        <x:v>3</x:v>
      </x:c>
      <x:c r="L72" s="19" t="n">
        <x:f>K72+E72*0.5</x:f>
        <x:v>3</x:v>
      </x:c>
      <x:c r="M72" s="19" t="n">
        <x:f>D72+J72+F72*L72</x:f>
        <x:v>46</x:v>
      </x:c>
    </x:row>
    <x:row r="73" ht="25" customHeight="1">
      <x:c r="A73" s="3" t="str">
        <x:v>小鱼贝壳</x:v>
      </x:c>
      <x:c r="B73" s="3" t="str">
        <x:v>xiaoyubeike</x:v>
      </x:c>
      <x:c r="C73" s="3" t="str">
        <x:v>先攻</x:v>
      </x:c>
      <x:c r="D73" s="23" t="n">
        <x:v>87</x:v>
      </x:c>
      <x:c r="E73" s="23" t="n">
        <x:v>0</x:v>
      </x:c>
      <x:c r="F73" s="23" t="n">
        <x:v>0</x:v>
      </x:c>
      <x:c r="G73" s="23" t="n">
        <x:v>0</x:v>
      </x:c>
      <x:c r="H73" s="23" t="n">
        <x:v>0</x:v>
      </x:c>
      <x:c r="I73" s="23" t="n">
        <x:v>1</x:v>
      </x:c>
      <x:c r="J73" s="19" t="n">
        <x:f>IF(I73=1,G73,H73)</x:f>
        <x:v>0</x:v>
      </x:c>
      <x:c r="K73" s="19" t="n">
        <x:v>4</x:v>
      </x:c>
      <x:c r="L73" s="19" t="n">
        <x:f>K73+E73*0.5</x:f>
        <x:v>4</x:v>
      </x:c>
      <x:c r="M73" s="19" t="n">
        <x:f>D73+J73+F73*L73</x:f>
        <x:v>87</x:v>
      </x:c>
    </x:row>
    <x:row r="74" ht="25" customHeight="1">
      <x:c r="A74" s="10" t="str">
        <x:v>小鱼贝壳</x:v>
      </x:c>
      <x:c r="B74" s="10" t="str">
        <x:v>xiaoyubeike</x:v>
      </x:c>
      <x:c r="C74" s="10" t="str">
        <x:v>近攻</x:v>
      </x:c>
      <x:c r="D74" s="23" t="n">
        <x:v>55</x:v>
      </x:c>
      <x:c r="E74" s="23" t="n">
        <x:v>2</x:v>
      </x:c>
      <x:c r="F74" s="23" t="n">
        <x:v>10</x:v>
      </x:c>
      <x:c r="G74" s="23" t="n">
        <x:v>0</x:v>
      </x:c>
      <x:c r="H74" s="23" t="n">
        <x:v>3</x:v>
      </x:c>
      <x:c r="I74" s="23" t="n">
        <x:v>1</x:v>
      </x:c>
      <x:c r="J74" s="19" t="n">
        <x:f>IF(I74=1,G74,H74)</x:f>
        <x:v>0</x:v>
      </x:c>
      <x:c r="K74" s="19" t="n">
        <x:v>2</x:v>
      </x:c>
      <x:c r="L74" s="19" t="n">
        <x:f>K74+E74*0.5</x:f>
        <x:v>3</x:v>
      </x:c>
      <x:c r="M74" s="19" t="n">
        <x:f>D74+J74+F74*L74</x:f>
        <x:v>85</x:v>
      </x:c>
    </x:row>
    <x:row r="75" ht="25" customHeight="1">
      <x:c r="A75" s="3" t="str">
        <x:v>小鱼贝壳</x:v>
      </x:c>
      <x:c r="B75" s="3" t="str">
        <x:v>xiaoyubeike</x:v>
      </x:c>
      <x:c r="C75" s="3" t="str">
        <x:v>远攻</x:v>
      </x:c>
      <x:c r="D75" s="23" t="n">
        <x:v>30</x:v>
      </x:c>
      <x:c r="E75" s="23" t="n">
        <x:v>0</x:v>
      </x:c>
      <x:c r="F75" s="23" t="n">
        <x:v>0</x:v>
      </x:c>
      <x:c r="G75" s="23" t="n">
        <x:v>0</x:v>
      </x:c>
      <x:c r="H75" s="23" t="n">
        <x:v>0</x:v>
      </x:c>
      <x:c r="I75" s="23" t="n">
        <x:v>1</x:v>
      </x:c>
      <x:c r="J75" s="19" t="n">
        <x:f>IF(I75=1,G75,H75)</x:f>
        <x:v>0</x:v>
      </x:c>
      <x:c r="K75" s="19" t="n">
        <x:v>3</x:v>
      </x:c>
      <x:c r="L75" s="19" t="n">
        <x:f>K75+E75*0.5</x:f>
        <x:v>3</x:v>
      </x:c>
      <x:c r="M75" s="19" t="n">
        <x:f>D75+J75+F75*L75</x:f>
        <x:v>30</x:v>
      </x:c>
    </x:row>
    <x:row r="76" ht="25" customHeight="1">
      <x:c r="A76" s="10" t="str">
        <x:v>小鱼贝壳</x:v>
      </x:c>
      <x:c r="B76" s="10" t="str">
        <x:v>xiaoyubeike</x:v>
      </x:c>
      <x:c r="C76" s="10" t="str">
        <x:v>近防</x:v>
      </x:c>
      <x:c r="D76" s="23" t="n">
        <x:v>5</x:v>
      </x:c>
      <x:c r="E76" s="23" t="n">
        <x:v>1</x:v>
      </x:c>
      <x:c r="F76" s="23" t="n">
        <x:v>10</x:v>
      </x:c>
      <x:c r="G76" s="23" t="n">
        <x:v>0</x:v>
      </x:c>
      <x:c r="H76" s="23" t="n">
        <x:v>0</x:v>
      </x:c>
      <x:c r="I76" s="23" t="n">
        <x:v>1</x:v>
      </x:c>
      <x:c r="J76" s="19" t="n">
        <x:f>IF(I76=1,G76,H76)</x:f>
        <x:v>0</x:v>
      </x:c>
      <x:c r="K76" s="19" t="n">
        <x:v>2</x:v>
      </x:c>
      <x:c r="L76" s="19" t="n">
        <x:f>K76+E76*0.5</x:f>
        <x:v>2.5</x:v>
      </x:c>
      <x:c r="M76" s="19" t="n">
        <x:f>D76+J76+F76*L76</x:f>
        <x:v>30</x:v>
      </x:c>
    </x:row>
    <x:row r="77" ht="25" customHeight="1">
      <x:c r="A77" s="3" t="str">
        <x:v>小鱼贝壳</x:v>
      </x:c>
      <x:c r="B77" s="3" t="str">
        <x:v>xiaoyubeike</x:v>
      </x:c>
      <x:c r="C77" s="3" t="str">
        <x:v>远防</x:v>
      </x:c>
      <x:c r="D77" s="23" t="n">
        <x:v>0</x:v>
      </x:c>
      <x:c r="E77" s="23" t="n">
        <x:v>0</x:v>
      </x:c>
      <x:c r="F77" s="23" t="n">
        <x:v>0</x:v>
      </x:c>
      <x:c r="G77" s="23" t="n">
        <x:v>0</x:v>
      </x:c>
      <x:c r="H77" s="23" t="n">
        <x:v>0</x:v>
      </x:c>
      <x:c r="I77" s="23" t="n">
        <x:v>1</x:v>
      </x:c>
      <x:c r="J77" s="19" t="n">
        <x:f>IF(I77=1,G77,H77)</x:f>
        <x:v>0</x:v>
      </x:c>
      <x:c r="K77" s="19" t="n">
        <x:v>3</x:v>
      </x:c>
      <x:c r="L77" s="19" t="n">
        <x:f>K77+E77*0.5</x:f>
        <x:v>3</x:v>
      </x:c>
      <x:c r="M77" s="19" t="n">
        <x:f>D77+J77+F77*L77</x:f>
        <x:v>0</x:v>
      </x:c>
    </x:row>
    <x:row r="78" ht="25" customHeight="1">
      <x:c r="A78" s="10" t="str">
        <x:v>王怼怼</x:v>
      </x:c>
      <x:c r="B78" s="10" t="str">
        <x:v>wangduidui</x:v>
      </x:c>
      <x:c r="C78" s="10" t="str">
        <x:v>生命</x:v>
      </x:c>
      <x:c r="D78" s="23" t="n">
        <x:v>55</x:v>
      </x:c>
      <x:c r="E78" s="23" t="n">
        <x:v>1</x:v>
      </x:c>
      <x:c r="F78" s="23" t="n">
        <x:v>8</x:v>
      </x:c>
      <x:c r="G78" s="23" t="n">
        <x:v>0</x:v>
      </x:c>
      <x:c r="H78" s="23" t="n">
        <x:v>0</x:v>
      </x:c>
      <x:c r="I78" s="23" t="n">
        <x:v>1</x:v>
      </x:c>
      <x:c r="J78" s="19" t="n">
        <x:f>IF(I78=1,G78,H78)</x:f>
        <x:v>0</x:v>
      </x:c>
      <x:c r="K78" s="19" t="n">
        <x:v>3</x:v>
      </x:c>
      <x:c r="L78" s="19" t="n">
        <x:f>K78+E78*0.5</x:f>
        <x:v>3.5</x:v>
      </x:c>
      <x:c r="M78" s="19" t="n">
        <x:f>D78+J78+F78*L78</x:f>
        <x:v>83</x:v>
      </x:c>
    </x:row>
    <x:row r="79" ht="25" customHeight="1">
      <x:c r="A79" s="3" t="str">
        <x:v>王怼怼</x:v>
      </x:c>
      <x:c r="B79" s="3" t="str">
        <x:v>wangduidui</x:v>
      </x:c>
      <x:c r="C79" s="3" t="str">
        <x:v>疲劳上限</x:v>
      </x:c>
      <x:c r="D79" s="23" t="n">
        <x:v>98</x:v>
      </x:c>
      <x:c r="E79" s="23" t="n">
        <x:v>0</x:v>
      </x:c>
      <x:c r="F79" s="23" t="n">
        <x:v>4</x:v>
      </x:c>
      <x:c r="G79" s="23" t="n">
        <x:v>0</x:v>
      </x:c>
      <x:c r="H79" s="23" t="n">
        <x:v>0</x:v>
      </x:c>
      <x:c r="I79" s="23" t="n">
        <x:v>1</x:v>
      </x:c>
      <x:c r="J79" s="19" t="n">
        <x:f>IF(I79=1,G79,H79)</x:f>
        <x:v>0</x:v>
      </x:c>
      <x:c r="K79" s="19" t="n">
        <x:v>3</x:v>
      </x:c>
      <x:c r="L79" s="19" t="n">
        <x:f>K79+E79*0.5</x:f>
        <x:v>3</x:v>
      </x:c>
      <x:c r="M79" s="19" t="n">
        <x:f>D79+J79+F79*L79</x:f>
        <x:v>110</x:v>
      </x:c>
    </x:row>
    <x:row r="80" ht="25" customHeight="1">
      <x:c r="A80" s="10" t="str">
        <x:v>王怼怼</x:v>
      </x:c>
      <x:c r="B80" s="10" t="str">
        <x:v>wangduidui</x:v>
      </x:c>
      <x:c r="C80" s="10" t="str">
        <x:v>决心</x:v>
      </x:c>
      <x:c r="D80" s="23" t="n">
        <x:v>55</x:v>
      </x:c>
      <x:c r="E80" s="23" t="n">
        <x:v>2</x:v>
      </x:c>
      <x:c r="F80" s="23" t="n">
        <x:v>10</x:v>
      </x:c>
      <x:c r="G80" s="23" t="n">
        <x:v>5</x:v>
      </x:c>
      <x:c r="H80" s="23" t="n">
        <x:v>0</x:v>
      </x:c>
      <x:c r="I80" s="23" t="n">
        <x:v>1</x:v>
      </x:c>
      <x:c r="J80" s="19" t="n">
        <x:f>IF(I80=1,G80,H80)</x:f>
        <x:v>5</x:v>
      </x:c>
      <x:c r="K80" s="19" t="n">
        <x:v>3</x:v>
      </x:c>
      <x:c r="L80" s="19" t="n">
        <x:f>K80+E80*0.5</x:f>
        <x:v>4</x:v>
      </x:c>
      <x:c r="M80" s="19" t="n">
        <x:f>D80+J80+F80*L80</x:f>
        <x:v>100</x:v>
      </x:c>
    </x:row>
    <x:row r="81" ht="25" customHeight="1">
      <x:c r="A81" s="3" t="str">
        <x:v>王怼怼</x:v>
      </x:c>
      <x:c r="B81" s="3" t="str">
        <x:v>wangduidui</x:v>
      </x:c>
      <x:c r="C81" s="3" t="str">
        <x:v>先攻</x:v>
      </x:c>
      <x:c r="D81" s="23" t="n">
        <x:v>106</x:v>
      </x:c>
      <x:c r="E81" s="23" t="n">
        <x:v>1</x:v>
      </x:c>
      <x:c r="F81" s="23" t="n">
        <x:v>0</x:v>
      </x:c>
      <x:c r="G81" s="23" t="n">
        <x:v>0</x:v>
      </x:c>
      <x:c r="H81" s="23" t="n">
        <x:v>0</x:v>
      </x:c>
      <x:c r="I81" s="23" t="n">
        <x:v>1</x:v>
      </x:c>
      <x:c r="J81" s="19" t="n">
        <x:f>IF(I81=1,G81,H81)</x:f>
        <x:v>0</x:v>
      </x:c>
      <x:c r="K81" s="19" t="n">
        <x:v>4</x:v>
      </x:c>
      <x:c r="L81" s="19" t="n">
        <x:f>K81+E81*0.5</x:f>
        <x:v>4.5</x:v>
      </x:c>
      <x:c r="M81" s="19" t="n">
        <x:f>D81+J81+F81*L81</x:f>
        <x:v>106</x:v>
      </x:c>
    </x:row>
    <x:row r="82" ht="25" customHeight="1">
      <x:c r="A82" s="10" t="str">
        <x:v>王怼怼</x:v>
      </x:c>
      <x:c r="B82" s="10" t="str">
        <x:v>wangduidui</x:v>
      </x:c>
      <x:c r="C82" s="10" t="str">
        <x:v>近攻</x:v>
      </x:c>
      <x:c r="D82" s="23" t="n">
        <x:v>52</x:v>
      </x:c>
      <x:c r="E82" s="23" t="n">
        <x:v>0</x:v>
      </x:c>
      <x:c r="F82" s="23" t="n">
        <x:v>8</x:v>
      </x:c>
      <x:c r="G82" s="23" t="n">
        <x:v>0</x:v>
      </x:c>
      <x:c r="H82" s="23" t="n">
        <x:v>0</x:v>
      </x:c>
      <x:c r="I82" s="23" t="n">
        <x:v>1</x:v>
      </x:c>
      <x:c r="J82" s="19" t="n">
        <x:f>IF(I82=1,G82,H82)</x:f>
        <x:v>0</x:v>
      </x:c>
      <x:c r="K82" s="19" t="n">
        <x:v>2</x:v>
      </x:c>
      <x:c r="L82" s="19" t="n">
        <x:f>K82+E82*0.5</x:f>
        <x:v>2</x:v>
      </x:c>
      <x:c r="M82" s="19" t="n">
        <x:f>D82+J82+F82*L82</x:f>
        <x:v>68</x:v>
      </x:c>
    </x:row>
    <x:row r="83" ht="25" customHeight="1">
      <x:c r="A83" s="3" t="str">
        <x:v>王怼怼</x:v>
      </x:c>
      <x:c r="B83" s="3" t="str">
        <x:v>wangduidui</x:v>
      </x:c>
      <x:c r="C83" s="3" t="str">
        <x:v>远攻</x:v>
      </x:c>
      <x:c r="D83" s="23" t="n">
        <x:v>35</x:v>
      </x:c>
      <x:c r="E83" s="23" t="n">
        <x:v>0</x:v>
      </x:c>
      <x:c r="F83" s="23" t="n">
        <x:v>0</x:v>
      </x:c>
      <x:c r="G83" s="23" t="n">
        <x:v>0</x:v>
      </x:c>
      <x:c r="H83" s="23" t="n">
        <x:v>0</x:v>
      </x:c>
      <x:c r="I83" s="23" t="n">
        <x:v>1</x:v>
      </x:c>
      <x:c r="J83" s="19" t="n">
        <x:f>IF(I83=1,G83,H83)</x:f>
        <x:v>0</x:v>
      </x:c>
      <x:c r="K83" s="19" t="n">
        <x:v>3</x:v>
      </x:c>
      <x:c r="L83" s="19" t="n">
        <x:f>K83+E83*0.5</x:f>
        <x:v>3</x:v>
      </x:c>
      <x:c r="M83" s="19" t="n">
        <x:f>D83+J83+F83*L83</x:f>
        <x:v>35</x:v>
      </x:c>
    </x:row>
    <x:row r="84" ht="25" customHeight="1">
      <x:c r="A84" s="10" t="str">
        <x:v>王怼怼</x:v>
      </x:c>
      <x:c r="B84" s="10" t="str">
        <x:v>wangduidui</x:v>
      </x:c>
      <x:c r="C84" s="10" t="str">
        <x:v>近防</x:v>
      </x:c>
      <x:c r="D84" s="23" t="n">
        <x:v>4</x:v>
      </x:c>
      <x:c r="E84" s="23" t="n">
        <x:v>0</x:v>
      </x:c>
      <x:c r="F84" s="23" t="n">
        <x:v>0</x:v>
      </x:c>
      <x:c r="G84" s="23" t="n">
        <x:v>0</x:v>
      </x:c>
      <x:c r="H84" s="23" t="n">
        <x:v>2</x:v>
      </x:c>
      <x:c r="I84" s="23" t="n">
        <x:v>1</x:v>
      </x:c>
      <x:c r="J84" s="19" t="n">
        <x:f>IF(I84=1,G84,H84)</x:f>
        <x:v>0</x:v>
      </x:c>
      <x:c r="K84" s="19" t="n">
        <x:v>2</x:v>
      </x:c>
      <x:c r="L84" s="19" t="n">
        <x:f>K84+E84*0.5</x:f>
        <x:v>2</x:v>
      </x:c>
      <x:c r="M84" s="19" t="n">
        <x:f>D84+J84+F84*L84</x:f>
        <x:v>4</x:v>
      </x:c>
    </x:row>
    <x:row r="85" ht="25" customHeight="1">
      <x:c r="A85" s="3" t="str">
        <x:v>王怼怼</x:v>
      </x:c>
      <x:c r="B85" s="3" t="str">
        <x:v>wangduidui</x:v>
      </x:c>
      <x:c r="C85" s="3" t="str">
        <x:v>远防</x:v>
      </x:c>
      <x:c r="D85" s="23" t="n">
        <x:v>3</x:v>
      </x:c>
      <x:c r="E85" s="23" t="n">
        <x:v>0</x:v>
      </x:c>
      <x:c r="F85" s="23" t="n">
        <x:v>0</x:v>
      </x:c>
      <x:c r="G85" s="23" t="n">
        <x:v>0</x:v>
      </x:c>
      <x:c r="H85" s="23" t="n">
        <x:v>2</x:v>
      </x:c>
      <x:c r="I85" s="23" t="n">
        <x:v>1</x:v>
      </x:c>
      <x:c r="J85" s="19" t="n">
        <x:f>IF(I85=1,G85,H85)</x:f>
        <x:v>0</x:v>
      </x:c>
      <x:c r="K85" s="19" t="n">
        <x:v>3</x:v>
      </x:c>
      <x:c r="L85" s="19" t="n">
        <x:f>K85+E85*0.5</x:f>
        <x:v>3</x:v>
      </x:c>
      <x:c r="M85" s="19" t="n">
        <x:f>D85+J85+F85*L85</x:f>
        <x:v>3</x:v>
      </x:c>
    </x:row>
    <x:row r="86" ht="25" customHeight="1">
      <x:c r="A86" s="10" t="str">
        <x:v>老蔡</x:v>
      </x:c>
      <x:c r="B86" s="10" t="str">
        <x:v>laocai</x:v>
      </x:c>
      <x:c r="C86" s="10" t="str">
        <x:v>生命</x:v>
      </x:c>
      <x:c r="D86" s="23" t="n">
        <x:v>59</x:v>
      </x:c>
      <x:c r="E86" s="23" t="n">
        <x:v>1</x:v>
      </x:c>
      <x:c r="F86" s="23" t="n">
        <x:v>8</x:v>
      </x:c>
      <x:c r="G86" s="23" t="n">
        <x:v>0</x:v>
      </x:c>
      <x:c r="H86" s="23" t="n">
        <x:v>0</x:v>
      </x:c>
      <x:c r="I86" s="23" t="n">
        <x:v>1</x:v>
      </x:c>
      <x:c r="J86" s="19" t="n">
        <x:f>IF(I86=1,G86,H86)</x:f>
        <x:v>0</x:v>
      </x:c>
      <x:c r="K86" s="19" t="n">
        <x:v>3</x:v>
      </x:c>
      <x:c r="L86" s="19" t="n">
        <x:f>K86+E86*0.5</x:f>
        <x:v>3.5</x:v>
      </x:c>
      <x:c r="M86" s="19" t="n">
        <x:f>D86+J86+F86*L86</x:f>
        <x:v>87</x:v>
      </x:c>
    </x:row>
    <x:row r="87" ht="25" customHeight="1">
      <x:c r="A87" s="3" t="str">
        <x:v>老蔡</x:v>
      </x:c>
      <x:c r="B87" s="3" t="str">
        <x:v>laocai</x:v>
      </x:c>
      <x:c r="C87" s="3" t="str">
        <x:v>疲劳上限</x:v>
      </x:c>
      <x:c r="D87" s="23" t="n">
        <x:v>104</x:v>
      </x:c>
      <x:c r="E87" s="23" t="n">
        <x:v>0</x:v>
      </x:c>
      <x:c r="F87" s="23" t="n">
        <x:v>5</x:v>
      </x:c>
      <x:c r="G87" s="23" t="n">
        <x:v>0</x:v>
      </x:c>
      <x:c r="H87" s="23" t="n">
        <x:v>0</x:v>
      </x:c>
      <x:c r="I87" s="23" t="n">
        <x:v>1</x:v>
      </x:c>
      <x:c r="J87" s="19" t="n">
        <x:f>IF(I87=1,G87,H87)</x:f>
        <x:v>0</x:v>
      </x:c>
      <x:c r="K87" s="19" t="n">
        <x:v>3</x:v>
      </x:c>
      <x:c r="L87" s="19" t="n">
        <x:f>K87+E87*0.5</x:f>
        <x:v>3</x:v>
      </x:c>
      <x:c r="M87" s="19" t="n">
        <x:f>D87+J87+F87*L87</x:f>
        <x:v>119</x:v>
      </x:c>
    </x:row>
    <x:row r="88" ht="25" customHeight="1">
      <x:c r="A88" s="10" t="str">
        <x:v>老蔡</x:v>
      </x:c>
      <x:c r="B88" s="10" t="str">
        <x:v>laocai</x:v>
      </x:c>
      <x:c r="C88" s="10" t="str">
        <x:v>决心</x:v>
      </x:c>
      <x:c r="D88" s="23" t="n">
        <x:v>51</x:v>
      </x:c>
      <x:c r="E88" s="23" t="n">
        <x:v>2</x:v>
      </x:c>
      <x:c r="F88" s="23" t="n">
        <x:v>7</x:v>
      </x:c>
      <x:c r="G88" s="23" t="n">
        <x:v>3</x:v>
      </x:c>
      <x:c r="H88" s="23" t="n">
        <x:v>0</x:v>
      </x:c>
      <x:c r="I88" s="23" t="n">
        <x:v>1</x:v>
      </x:c>
      <x:c r="J88" s="19" t="n">
        <x:f>IF(I88=1,G88,H88)</x:f>
        <x:v>3</x:v>
      </x:c>
      <x:c r="K88" s="19" t="n">
        <x:v>3</x:v>
      </x:c>
      <x:c r="L88" s="19" t="n">
        <x:f>K88+E88*0.5</x:f>
        <x:v>4</x:v>
      </x:c>
      <x:c r="M88" s="19" t="n">
        <x:f>D88+J88+F88*L88</x:f>
        <x:v>82</x:v>
      </x:c>
    </x:row>
    <x:row r="89" ht="25" customHeight="1">
      <x:c r="A89" s="3" t="str">
        <x:v>老蔡</x:v>
      </x:c>
      <x:c r="B89" s="3" t="str">
        <x:v>laocai</x:v>
      </x:c>
      <x:c r="C89" s="3" t="str">
        <x:v>先攻</x:v>
      </x:c>
      <x:c r="D89" s="23" t="n">
        <x:v>92</x:v>
      </x:c>
      <x:c r="E89" s="23" t="n">
        <x:v>0</x:v>
      </x:c>
      <x:c r="F89" s="23" t="n">
        <x:v>0</x:v>
      </x:c>
      <x:c r="G89" s="23" t="n">
        <x:v>0</x:v>
      </x:c>
      <x:c r="H89" s="23" t="n">
        <x:v>5</x:v>
      </x:c>
      <x:c r="I89" s="23" t="n">
        <x:v>1</x:v>
      </x:c>
      <x:c r="J89" s="19" t="n">
        <x:f>IF(I89=1,G89,H89)</x:f>
        <x:v>0</x:v>
      </x:c>
      <x:c r="K89" s="19" t="n">
        <x:v>4</x:v>
      </x:c>
      <x:c r="L89" s="19" t="n">
        <x:f>K89+E89*0.5</x:f>
        <x:v>4</x:v>
      </x:c>
      <x:c r="M89" s="19" t="n">
        <x:f>D89+J89+F89*L89</x:f>
        <x:v>92</x:v>
      </x:c>
    </x:row>
    <x:row r="90" ht="25" customHeight="1">
      <x:c r="A90" s="10" t="str">
        <x:v>老蔡</x:v>
      </x:c>
      <x:c r="B90" s="10" t="str">
        <x:v>laocai</x:v>
      </x:c>
      <x:c r="C90" s="10" t="str">
        <x:v>近攻</x:v>
      </x:c>
      <x:c r="D90" s="23" t="n">
        <x:v>58</x:v>
      </x:c>
      <x:c r="E90" s="23" t="n">
        <x:v>0</x:v>
      </x:c>
      <x:c r="F90" s="23" t="n">
        <x:v>0</x:v>
      </x:c>
      <x:c r="G90" s="23" t="n">
        <x:v>0</x:v>
      </x:c>
      <x:c r="H90" s="23" t="n">
        <x:v>0</x:v>
      </x:c>
      <x:c r="I90" s="23" t="n">
        <x:v>1</x:v>
      </x:c>
      <x:c r="J90" s="19" t="n">
        <x:f>IF(I90=1,G90,H90)</x:f>
        <x:v>0</x:v>
      </x:c>
      <x:c r="K90" s="19" t="n">
        <x:v>2</x:v>
      </x:c>
      <x:c r="L90" s="19" t="n">
        <x:f>K90+E90*0.5</x:f>
        <x:v>2</x:v>
      </x:c>
      <x:c r="M90" s="19" t="n">
        <x:f>D90+J90+F90*L90</x:f>
        <x:v>58</x:v>
      </x:c>
    </x:row>
    <x:row r="91" ht="25" customHeight="1">
      <x:c r="A91" s="3" t="str">
        <x:v>老蔡</x:v>
      </x:c>
      <x:c r="B91" s="3" t="str">
        <x:v>laocai</x:v>
      </x:c>
      <x:c r="C91" s="3" t="str">
        <x:v>远攻</x:v>
      </x:c>
      <x:c r="D91" s="23" t="n">
        <x:v>32</x:v>
      </x:c>
      <x:c r="E91" s="23" t="n">
        <x:v>0</x:v>
      </x:c>
      <x:c r="F91" s="23" t="n">
        <x:v>0</x:v>
      </x:c>
      <x:c r="G91" s="23" t="n">
        <x:v>0</x:v>
      </x:c>
      <x:c r="H91" s="23" t="n">
        <x:v>0</x:v>
      </x:c>
      <x:c r="I91" s="23" t="n">
        <x:v>1</x:v>
      </x:c>
      <x:c r="J91" s="19" t="n">
        <x:f>IF(I91=1,G91,H91)</x:f>
        <x:v>0</x:v>
      </x:c>
      <x:c r="K91" s="19" t="n">
        <x:v>3</x:v>
      </x:c>
      <x:c r="L91" s="19" t="n">
        <x:f>K91+E91*0.5</x:f>
        <x:v>3</x:v>
      </x:c>
      <x:c r="M91" s="19" t="n">
        <x:f>D91+J91+F91*L91</x:f>
        <x:v>32</x:v>
      </x:c>
    </x:row>
    <x:row r="92" ht="25" customHeight="1">
      <x:c r="A92" s="10" t="str">
        <x:v>老蔡</x:v>
      </x:c>
      <x:c r="B92" s="10" t="str">
        <x:v>laocai</x:v>
      </x:c>
      <x:c r="C92" s="10" t="str">
        <x:v>近防</x:v>
      </x:c>
      <x:c r="D92" s="23" t="n">
        <x:v>7</x:v>
      </x:c>
      <x:c r="E92" s="23" t="n">
        <x:v>3</x:v>
      </x:c>
      <x:c r="F92" s="23" t="n">
        <x:v>10</x:v>
      </x:c>
      <x:c r="G92" s="23" t="n">
        <x:v>2</x:v>
      </x:c>
      <x:c r="H92" s="23" t="n">
        <x:v>0</x:v>
      </x:c>
      <x:c r="I92" s="23" t="n">
        <x:v>1</x:v>
      </x:c>
      <x:c r="J92" s="19" t="n">
        <x:f>IF(I92=1,G92,H92)</x:f>
        <x:v>2</x:v>
      </x:c>
      <x:c r="K92" s="19" t="n">
        <x:v>2</x:v>
      </x:c>
      <x:c r="L92" s="19" t="n">
        <x:f>K92+E92*0.5</x:f>
        <x:v>3.5</x:v>
      </x:c>
      <x:c r="M92" s="19" t="n">
        <x:f>D92+J92+F92*L92</x:f>
        <x:v>44</x:v>
      </x:c>
    </x:row>
    <x:row r="93" ht="25" customHeight="1">
      <x:c r="A93" s="3" t="str">
        <x:v>老蔡</x:v>
      </x:c>
      <x:c r="B93" s="3" t="str">
        <x:v>laocai</x:v>
      </x:c>
      <x:c r="C93" s="3" t="str">
        <x:v>远防</x:v>
      </x:c>
      <x:c r="D93" s="23" t="n">
        <x:v>3</x:v>
      </x:c>
      <x:c r="E93" s="23" t="n">
        <x:v>0</x:v>
      </x:c>
      <x:c r="F93" s="23" t="n">
        <x:v>0</x:v>
      </x:c>
      <x:c r="G93" s="23" t="n">
        <x:v>0</x:v>
      </x:c>
      <x:c r="H93" s="23" t="n">
        <x:v>2</x:v>
      </x:c>
      <x:c r="I93" s="23" t="n">
        <x:v>1</x:v>
      </x:c>
      <x:c r="J93" s="19" t="n">
        <x:f>IF(I93=1,G93,H93)</x:f>
        <x:v>0</x:v>
      </x:c>
      <x:c r="K93" s="19" t="n">
        <x:v>3</x:v>
      </x:c>
      <x:c r="L93" s="19" t="n">
        <x:f>K93+E93*0.5</x:f>
        <x:v>3</x:v>
      </x:c>
      <x:c r="M93" s="19" t="n">
        <x:f>D93+J93+F93*L93</x:f>
        <x:v>3</x:v>
      </x:c>
    </x:row>
    <x:row r="94" ht="25" customHeight="1">
      <x:c r="A94" s="10" t="str">
        <x:v>眼子哥</x:v>
      </x:c>
      <x:c r="B94" s="10" t="str">
        <x:v>yanzi</x:v>
      </x:c>
      <x:c r="C94" s="10" t="str">
        <x:v>生命</x:v>
      </x:c>
      <x:c r="D94" s="23" t="n">
        <x:v>60</x:v>
      </x:c>
      <x:c r="E94" s="23" t="n">
        <x:v>0</x:v>
      </x:c>
      <x:c r="F94" s="23" t="n">
        <x:v>6</x:v>
      </x:c>
      <x:c r="G94" s="23" t="n">
        <x:v>0</x:v>
      </x:c>
      <x:c r="H94" s="23" t="n">
        <x:v>0</x:v>
      </x:c>
      <x:c r="I94" s="23" t="n">
        <x:v>1</x:v>
      </x:c>
      <x:c r="J94" s="19" t="n">
        <x:f>IF(I94=1,G94,H94)</x:f>
        <x:v>0</x:v>
      </x:c>
      <x:c r="K94" s="19" t="n">
        <x:v>3</x:v>
      </x:c>
      <x:c r="L94" s="19" t="n">
        <x:f>K94+E94*0.5</x:f>
        <x:v>3</x:v>
      </x:c>
      <x:c r="M94" s="19" t="n">
        <x:f>D94+J94+F94*L94</x:f>
        <x:v>78</x:v>
      </x:c>
    </x:row>
    <x:row r="95" ht="25" customHeight="1">
      <x:c r="A95" s="3" t="str">
        <x:v>眼子哥</x:v>
      </x:c>
      <x:c r="B95" s="3" t="str">
        <x:v>yanzi</x:v>
      </x:c>
      <x:c r="C95" s="3" t="str">
        <x:v>疲劳上限</x:v>
      </x:c>
      <x:c r="D95" s="23" t="n">
        <x:v>104</x:v>
      </x:c>
      <x:c r="E95" s="23" t="n">
        <x:v>0</x:v>
      </x:c>
      <x:c r="F95" s="23" t="n">
        <x:v>0</x:v>
      </x:c>
      <x:c r="G95" s="23" t="n">
        <x:v>0</x:v>
      </x:c>
      <x:c r="H95" s="23" t="n">
        <x:v>0</x:v>
      </x:c>
      <x:c r="I95" s="23" t="n">
        <x:v>1</x:v>
      </x:c>
      <x:c r="J95" s="19" t="n">
        <x:f>IF(I95=1,G95,H95)</x:f>
        <x:v>0</x:v>
      </x:c>
      <x:c r="K95" s="19" t="n">
        <x:v>3</x:v>
      </x:c>
      <x:c r="L95" s="19" t="n">
        <x:f>K95+E95*0.5</x:f>
        <x:v>3</x:v>
      </x:c>
      <x:c r="M95" s="19" t="n">
        <x:f>D95+J95+F95*L95</x:f>
        <x:v>104</x:v>
      </x:c>
    </x:row>
    <x:row r="96" ht="25" customHeight="1">
      <x:c r="A96" s="10" t="str">
        <x:v>眼子哥</x:v>
      </x:c>
      <x:c r="B96" s="10" t="str">
        <x:v>yanzi</x:v>
      </x:c>
      <x:c r="C96" s="10" t="str">
        <x:v>决心</x:v>
      </x:c>
      <x:c r="D96" s="23" t="n">
        <x:v>48</x:v>
      </x:c>
      <x:c r="E96" s="23" t="n">
        <x:v>1</x:v>
      </x:c>
      <x:c r="F96" s="23" t="n">
        <x:v>4</x:v>
      </x:c>
      <x:c r="G96" s="23" t="n">
        <x:v>2</x:v>
      </x:c>
      <x:c r="H96" s="23" t="n">
        <x:v>0</x:v>
      </x:c>
      <x:c r="I96" s="23" t="n">
        <x:v>1</x:v>
      </x:c>
      <x:c r="J96" s="19" t="n">
        <x:f>IF(I96=1,G96,H96)</x:f>
        <x:v>2</x:v>
      </x:c>
      <x:c r="K96" s="19" t="n">
        <x:v>3</x:v>
      </x:c>
      <x:c r="L96" s="19" t="n">
        <x:f>K96+E96*0.5</x:f>
        <x:v>3.5</x:v>
      </x:c>
      <x:c r="M96" s="19" t="n">
        <x:f>D96+J96+F96*L96</x:f>
        <x:v>64</x:v>
      </x:c>
    </x:row>
    <x:row r="97" ht="25" customHeight="1">
      <x:c r="A97" s="3" t="str">
        <x:v>眼子哥</x:v>
      </x:c>
      <x:c r="B97" s="3" t="str">
        <x:v>yanzi</x:v>
      </x:c>
      <x:c r="C97" s="3" t="str">
        <x:v>先攻</x:v>
      </x:c>
      <x:c r="D97" s="23" t="n">
        <x:v>104</x:v>
      </x:c>
      <x:c r="E97" s="23" t="n">
        <x:v>0</x:v>
      </x:c>
      <x:c r="F97" s="23" t="n">
        <x:v>0</x:v>
      </x:c>
      <x:c r="G97" s="23" t="n">
        <x:v>0</x:v>
      </x:c>
      <x:c r="H97" s="23" t="n">
        <x:v>3</x:v>
      </x:c>
      <x:c r="I97" s="23" t="n">
        <x:v>1</x:v>
      </x:c>
      <x:c r="J97" s="19" t="n">
        <x:f>IF(I97=1,G97,H97)</x:f>
        <x:v>0</x:v>
      </x:c>
      <x:c r="K97" s="19" t="n">
        <x:v>4</x:v>
      </x:c>
      <x:c r="L97" s="19" t="n">
        <x:f>K97+E97*0.5</x:f>
        <x:v>4</x:v>
      </x:c>
      <x:c r="M97" s="19" t="n">
        <x:f>D97+J97+F97*L97</x:f>
        <x:v>104</x:v>
      </x:c>
    </x:row>
    <x:row r="98" ht="25" customHeight="1">
      <x:c r="A98" s="10" t="str">
        <x:v>眼子哥</x:v>
      </x:c>
      <x:c r="B98" s="10" t="str">
        <x:v>yanzi</x:v>
      </x:c>
      <x:c r="C98" s="10" t="str">
        <x:v>近攻</x:v>
      </x:c>
      <x:c r="D98" s="23" t="n">
        <x:v>60</x:v>
      </x:c>
      <x:c r="E98" s="23" t="n">
        <x:v>1</x:v>
      </x:c>
      <x:c r="F98" s="23" t="n">
        <x:v>10</x:v>
      </x:c>
      <x:c r="G98" s="23" t="n">
        <x:v>0</x:v>
      </x:c>
      <x:c r="H98" s="23" t="n">
        <x:v>0</x:v>
      </x:c>
      <x:c r="I98" s="23" t="n">
        <x:v>1</x:v>
      </x:c>
      <x:c r="J98" s="19" t="n">
        <x:f>IF(I98=1,G98,H98)</x:f>
        <x:v>0</x:v>
      </x:c>
      <x:c r="K98" s="19" t="n">
        <x:v>2</x:v>
      </x:c>
      <x:c r="L98" s="19" t="n">
        <x:f>K98+E98*0.5</x:f>
        <x:v>2.5</x:v>
      </x:c>
      <x:c r="M98" s="19" t="n">
        <x:f>D98+J98+F98*L98</x:f>
        <x:v>85</x:v>
      </x:c>
    </x:row>
    <x:row r="99" ht="25" customHeight="1">
      <x:c r="A99" s="3" t="str">
        <x:v>眼子哥</x:v>
      </x:c>
      <x:c r="B99" s="3" t="str">
        <x:v>yanzi</x:v>
      </x:c>
      <x:c r="C99" s="3" t="str">
        <x:v>远攻</x:v>
      </x:c>
      <x:c r="D99" s="23" t="n">
        <x:v>38</x:v>
      </x:c>
      <x:c r="E99" s="23" t="n">
        <x:v>0</x:v>
      </x:c>
      <x:c r="F99" s="23" t="n">
        <x:v>0</x:v>
      </x:c>
      <x:c r="G99" s="23" t="n">
        <x:v>0</x:v>
      </x:c>
      <x:c r="H99" s="23" t="n">
        <x:v>0</x:v>
      </x:c>
      <x:c r="I99" s="23" t="n">
        <x:v>1</x:v>
      </x:c>
      <x:c r="J99" s="19" t="n">
        <x:f>IF(I99=1,G99,H99)</x:f>
        <x:v>0</x:v>
      </x:c>
      <x:c r="K99" s="19" t="n">
        <x:v>3</x:v>
      </x:c>
      <x:c r="L99" s="19" t="n">
        <x:f>K99+E99*0.5</x:f>
        <x:v>3</x:v>
      </x:c>
      <x:c r="M99" s="19" t="n">
        <x:f>D99+J99+F99*L99</x:f>
        <x:v>38</x:v>
      </x:c>
    </x:row>
    <x:row r="100" ht="25" customHeight="1">
      <x:c r="A100" s="10" t="str">
        <x:v>眼子哥</x:v>
      </x:c>
      <x:c r="B100" s="10" t="str">
        <x:v>yanzi</x:v>
      </x:c>
      <x:c r="C100" s="10" t="str">
        <x:v>近防</x:v>
      </x:c>
      <x:c r="D100" s="23" t="n">
        <x:v>6</x:v>
      </x:c>
      <x:c r="E100" s="23" t="n">
        <x:v>1</x:v>
      </x:c>
      <x:c r="F100" s="23" t="n">
        <x:v>10</x:v>
      </x:c>
      <x:c r="G100" s="23" t="n">
        <x:v>2</x:v>
      </x:c>
      <x:c r="H100" s="23" t="n">
        <x:v>0</x:v>
      </x:c>
      <x:c r="I100" s="23" t="n">
        <x:v>1</x:v>
      </x:c>
      <x:c r="J100" s="19" t="n">
        <x:f>IF(I100=1,G100,H100)</x:f>
        <x:v>2</x:v>
      </x:c>
      <x:c r="K100" s="19" t="n">
        <x:v>2</x:v>
      </x:c>
      <x:c r="L100" s="19" t="n">
        <x:f>K100+E100*0.5</x:f>
        <x:v>2.5</x:v>
      </x:c>
      <x:c r="M100" s="19" t="n">
        <x:f>D100+J100+F100*L100</x:f>
        <x:v>33</x:v>
      </x:c>
    </x:row>
    <x:row r="101" ht="25" customHeight="1">
      <x:c r="A101" s="3" t="str">
        <x:v>眼子哥</x:v>
      </x:c>
      <x:c r="B101" s="3" t="str">
        <x:v>yanzi</x:v>
      </x:c>
      <x:c r="C101" s="3" t="str">
        <x:v>远防</x:v>
      </x:c>
      <x:c r="D101" s="23" t="n">
        <x:v>4</x:v>
      </x:c>
      <x:c r="E101" s="23" t="n">
        <x:v>0</x:v>
      </x:c>
      <x:c r="F101" s="23" t="n">
        <x:v>0</x:v>
      </x:c>
      <x:c r="G101" s="23" t="n">
        <x:v>0</x:v>
      </x:c>
      <x:c r="H101" s="23" t="n">
        <x:v>2</x:v>
      </x:c>
      <x:c r="I101" s="23" t="n">
        <x:v>1</x:v>
      </x:c>
      <x:c r="J101" s="19" t="n">
        <x:f>IF(I101=1,G101,H101)</x:f>
        <x:v>0</x:v>
      </x:c>
      <x:c r="K101" s="19" t="n">
        <x:v>3</x:v>
      </x:c>
      <x:c r="L101" s="19" t="n">
        <x:f>K101+E101*0.5</x:f>
        <x:v>3</x:v>
      </x:c>
      <x:c r="M101" s="19" t="n">
        <x:f>D101+J101+F101*L101</x:f>
        <x:v>4</x:v>
      </x:c>
    </x:row>
    <x:row r="102" ht="25" customHeight="1">
      <x:c r="A102" s="10" t="str">
        <x:v>亿口甜筒</x:v>
      </x:c>
      <x:c r="B102" s="10" t="str">
        <x:v>tiantong</x:v>
      </x:c>
      <x:c r="C102" s="10" t="str">
        <x:v>生命</x:v>
      </x:c>
      <x:c r="D102" s="23" t="n">
        <x:v>54</x:v>
      </x:c>
      <x:c r="E102" s="23" t="n">
        <x:v>0</x:v>
      </x:c>
      <x:c r="F102" s="23" t="n">
        <x:v>7</x:v>
      </x:c>
      <x:c r="G102" s="23" t="n">
        <x:v>0</x:v>
      </x:c>
      <x:c r="H102" s="23" t="n">
        <x:v>0</x:v>
      </x:c>
      <x:c r="I102" s="23" t="n">
        <x:v>1</x:v>
      </x:c>
      <x:c r="J102" s="19" t="n">
        <x:f>IF(I102=1,G102,H102)</x:f>
        <x:v>0</x:v>
      </x:c>
      <x:c r="K102" s="19" t="n">
        <x:v>3</x:v>
      </x:c>
      <x:c r="L102" s="19" t="n">
        <x:f>K102+E102*0.5</x:f>
        <x:v>3</x:v>
      </x:c>
      <x:c r="M102" s="19" t="n">
        <x:f>D102+J102+F102*L102</x:f>
        <x:v>75</x:v>
      </x:c>
    </x:row>
    <x:row r="103" ht="25" customHeight="1">
      <x:c r="A103" s="3" t="str">
        <x:v>亿口甜筒</x:v>
      </x:c>
      <x:c r="B103" s="3" t="str">
        <x:v>tiantong</x:v>
      </x:c>
      <x:c r="C103" s="3" t="str">
        <x:v>疲劳上限</x:v>
      </x:c>
      <x:c r="D103" s="23" t="n">
        <x:v>98</x:v>
      </x:c>
      <x:c r="E103" s="23" t="n">
        <x:v>0</x:v>
      </x:c>
      <x:c r="F103" s="23" t="n">
        <x:v>4</x:v>
      </x:c>
      <x:c r="G103" s="23" t="n">
        <x:v>0</x:v>
      </x:c>
      <x:c r="H103" s="23" t="n">
        <x:v>0</x:v>
      </x:c>
      <x:c r="I103" s="23" t="n">
        <x:v>1</x:v>
      </x:c>
      <x:c r="J103" s="19" t="n">
        <x:f>IF(I103=1,G103,H103)</x:f>
        <x:v>0</x:v>
      </x:c>
      <x:c r="K103" s="19" t="n">
        <x:v>3</x:v>
      </x:c>
      <x:c r="L103" s="19" t="n">
        <x:f>K103+E103*0.5</x:f>
        <x:v>3</x:v>
      </x:c>
      <x:c r="M103" s="19" t="n">
        <x:f>D103+J103+F103*L103</x:f>
        <x:v>110</x:v>
      </x:c>
    </x:row>
    <x:row r="104" ht="25" customHeight="1">
      <x:c r="A104" s="10" t="str">
        <x:v>亿口甜筒</x:v>
      </x:c>
      <x:c r="B104" s="10" t="str">
        <x:v>tiantong</x:v>
      </x:c>
      <x:c r="C104" s="10" t="str">
        <x:v>决心</x:v>
      </x:c>
      <x:c r="D104" s="23" t="n">
        <x:v>44</x:v>
      </x:c>
      <x:c r="E104" s="23" t="n">
        <x:v>1</x:v>
      </x:c>
      <x:c r="F104" s="23" t="n">
        <x:v>5</x:v>
      </x:c>
      <x:c r="G104" s="23" t="n">
        <x:v>2</x:v>
      </x:c>
      <x:c r="H104" s="23" t="n">
        <x:v>0</x:v>
      </x:c>
      <x:c r="I104" s="23" t="n">
        <x:v>1</x:v>
      </x:c>
      <x:c r="J104" s="19" t="n">
        <x:f>IF(I104=1,G104,H104)</x:f>
        <x:v>2</x:v>
      </x:c>
      <x:c r="K104" s="19" t="n">
        <x:v>3</x:v>
      </x:c>
      <x:c r="L104" s="19" t="n">
        <x:f>K104+E104*0.5</x:f>
        <x:v>3.5</x:v>
      </x:c>
      <x:c r="M104" s="19" t="n">
        <x:f>D104+J104+F104*L104</x:f>
        <x:v>63.5</x:v>
      </x:c>
    </x:row>
    <x:row r="105" ht="25" customHeight="1">
      <x:c r="A105" s="3" t="str">
        <x:v>亿口甜筒</x:v>
      </x:c>
      <x:c r="B105" s="3" t="str">
        <x:v>tiantong</x:v>
      </x:c>
      <x:c r="C105" s="3" t="str">
        <x:v>先攻</x:v>
      </x:c>
      <x:c r="D105" s="23" t="n">
        <x:v>107</x:v>
      </x:c>
      <x:c r="E105" s="23" t="n">
        <x:v>1</x:v>
      </x:c>
      <x:c r="F105" s="23" t="n">
        <x:v>0</x:v>
      </x:c>
      <x:c r="G105" s="23" t="n">
        <x:v>0</x:v>
      </x:c>
      <x:c r="H105" s="23" t="n">
        <x:v>3</x:v>
      </x:c>
      <x:c r="I105" s="23" t="n">
        <x:v>1</x:v>
      </x:c>
      <x:c r="J105" s="19" t="n">
        <x:f>IF(I105=1,G105,H105)</x:f>
        <x:v>0</x:v>
      </x:c>
      <x:c r="K105" s="19" t="n">
        <x:v>4</x:v>
      </x:c>
      <x:c r="L105" s="19" t="n">
        <x:f>K105+E105*0.5</x:f>
        <x:v>4.5</x:v>
      </x:c>
      <x:c r="M105" s="19" t="n">
        <x:f>D105+J105+F105*L105</x:f>
        <x:v>107</x:v>
      </x:c>
    </x:row>
    <x:row r="106" ht="25" customHeight="1">
      <x:c r="A106" s="10" t="str">
        <x:v>亿口甜筒</x:v>
      </x:c>
      <x:c r="B106" s="10" t="str">
        <x:v>tiantong</x:v>
      </x:c>
      <x:c r="C106" s="10" t="str">
        <x:v>近攻</x:v>
      </x:c>
      <x:c r="D106" s="23" t="n">
        <x:v>47</x:v>
      </x:c>
      <x:c r="E106" s="23" t="n">
        <x:v>0</x:v>
      </x:c>
      <x:c r="F106" s="23" t="n">
        <x:v>0</x:v>
      </x:c>
      <x:c r="G106" s="23" t="n">
        <x:v>0</x:v>
      </x:c>
      <x:c r="H106" s="23" t="n">
        <x:v>0</x:v>
      </x:c>
      <x:c r="I106" s="23" t="n">
        <x:v>1</x:v>
      </x:c>
      <x:c r="J106" s="19" t="n">
        <x:f>IF(I106=1,G106,H106)</x:f>
        <x:v>0</x:v>
      </x:c>
      <x:c r="K106" s="19" t="n">
        <x:v>2</x:v>
      </x:c>
      <x:c r="L106" s="19" t="n">
        <x:f>K106+E106*0.5</x:f>
        <x:v>2</x:v>
      </x:c>
      <x:c r="M106" s="19" t="n">
        <x:f>D106+J106+F106*L106</x:f>
        <x:v>47</x:v>
      </x:c>
    </x:row>
    <x:row r="107" ht="25" customHeight="1">
      <x:c r="A107" s="3" t="str">
        <x:v>亿口甜筒</x:v>
      </x:c>
      <x:c r="B107" s="3" t="str">
        <x:v>tiantong</x:v>
      </x:c>
      <x:c r="C107" s="3" t="str">
        <x:v>远攻</x:v>
      </x:c>
      <x:c r="D107" s="23" t="n">
        <x:v>57</x:v>
      </x:c>
      <x:c r="E107" s="23" t="n">
        <x:v>2</x:v>
      </x:c>
      <x:c r="F107" s="23" t="n">
        <x:v>10</x:v>
      </x:c>
      <x:c r="G107" s="23" t="n">
        <x:v>3</x:v>
      </x:c>
      <x:c r="H107" s="23" t="n">
        <x:v>0</x:v>
      </x:c>
      <x:c r="I107" s="23" t="n">
        <x:v>1</x:v>
      </x:c>
      <x:c r="J107" s="19" t="n">
        <x:f>IF(I107=1,G107,H107)</x:f>
        <x:v>3</x:v>
      </x:c>
      <x:c r="K107" s="19" t="n">
        <x:v>3</x:v>
      </x:c>
      <x:c r="L107" s="19" t="n">
        <x:f>K107+E107*0.5</x:f>
        <x:v>4</x:v>
      </x:c>
      <x:c r="M107" s="19" t="n">
        <x:f>D107+J107+F107*L107</x:f>
        <x:v>100</x:v>
      </x:c>
    </x:row>
    <x:row r="108" ht="25" customHeight="1">
      <x:c r="A108" s="10" t="str">
        <x:v>亿口甜筒</x:v>
      </x:c>
      <x:c r="B108" s="10" t="str">
        <x:v>tiantong</x:v>
      </x:c>
      <x:c r="C108" s="10" t="str">
        <x:v>近防</x:v>
      </x:c>
      <x:c r="D108" s="23" t="n">
        <x:v>2</x:v>
      </x:c>
      <x:c r="E108" s="23" t="n">
        <x:v>0</x:v>
      </x:c>
      <x:c r="F108" s="23" t="n">
        <x:v>0</x:v>
      </x:c>
      <x:c r="G108" s="23" t="n">
        <x:v>0</x:v>
      </x:c>
      <x:c r="H108" s="23" t="n">
        <x:v>0</x:v>
      </x:c>
      <x:c r="I108" s="23" t="n">
        <x:v>1</x:v>
      </x:c>
      <x:c r="J108" s="19" t="n">
        <x:f>IF(I108=1,G108,H108)</x:f>
        <x:v>0</x:v>
      </x:c>
      <x:c r="K108" s="19" t="n">
        <x:v>2</x:v>
      </x:c>
      <x:c r="L108" s="19" t="n">
        <x:f>K108+E108*0.5</x:f>
        <x:v>2</x:v>
      </x:c>
      <x:c r="M108" s="19" t="n">
        <x:f>D108+J108+F108*L108</x:f>
        <x:v>2</x:v>
      </x:c>
    </x:row>
    <x:row r="109" ht="25" customHeight="1">
      <x:c r="A109" s="3" t="str">
        <x:v>亿口甜筒</x:v>
      </x:c>
      <x:c r="B109" s="3" t="str">
        <x:v>tiantong</x:v>
      </x:c>
      <x:c r="C109" s="3" t="str">
        <x:v>远防</x:v>
      </x:c>
      <x:c r="D109" s="23" t="n">
        <x:v>5</x:v>
      </x:c>
      <x:c r="E109" s="23" t="n">
        <x:v>0</x:v>
      </x:c>
      <x:c r="F109" s="23" t="n">
        <x:v>4</x:v>
      </x:c>
      <x:c r="G109" s="23" t="n">
        <x:v>0</x:v>
      </x:c>
      <x:c r="H109" s="23" t="n">
        <x:v>3</x:v>
      </x:c>
      <x:c r="I109" s="23" t="n">
        <x:v>1</x:v>
      </x:c>
      <x:c r="J109" s="19" t="n">
        <x:f>IF(I109=1,G109,H109)</x:f>
        <x:v>0</x:v>
      </x:c>
      <x:c r="K109" s="19" t="n">
        <x:v>3</x:v>
      </x:c>
      <x:c r="L109" s="19" t="n">
        <x:f>K109+E109*0.5</x:f>
        <x:v>3</x:v>
      </x:c>
      <x:c r="M109" s="19" t="n">
        <x:f>D109+J109+F109*L109</x:f>
        <x:v>17</x:v>
      </x:c>
    </x:row>
    <x:row r="110" ht="25" customHeight="1">
      <x:c r="A110" s="10" t="str">
        <x:v>小宁</x:v>
      </x:c>
      <x:c r="B110" s="10" t="str">
        <x:v>xiaoning</x:v>
      </x:c>
      <x:c r="C110" s="10" t="str">
        <x:v>生命</x:v>
      </x:c>
      <x:c r="D110" s="23" t="n">
        <x:v>52</x:v>
      </x:c>
      <x:c r="E110" s="23" t="n">
        <x:v>1</x:v>
      </x:c>
      <x:c r="F110" s="23" t="n">
        <x:v>7</x:v>
      </x:c>
      <x:c r="G110" s="23" t="n">
        <x:v>0</x:v>
      </x:c>
      <x:c r="H110" s="23" t="n">
        <x:v>0</x:v>
      </x:c>
      <x:c r="I110" s="23" t="n">
        <x:v>1</x:v>
      </x:c>
      <x:c r="J110" s="19" t="n">
        <x:f>IF(I110=1,G110,H110)</x:f>
        <x:v>0</x:v>
      </x:c>
      <x:c r="K110" s="19" t="n">
        <x:v>3</x:v>
      </x:c>
      <x:c r="L110" s="19" t="n">
        <x:f>K110+E110*0.5</x:f>
        <x:v>3.5</x:v>
      </x:c>
      <x:c r="M110" s="19" t="n">
        <x:f>D110+J110+F110*L110</x:f>
        <x:v>76.5</x:v>
      </x:c>
    </x:row>
    <x:row r="111" ht="25" customHeight="1">
      <x:c r="A111" s="3" t="str">
        <x:v>小宁</x:v>
      </x:c>
      <x:c r="B111" s="3" t="str">
        <x:v>xiaoning</x:v>
      </x:c>
      <x:c r="C111" s="3" t="str">
        <x:v>疲劳上限</x:v>
      </x:c>
      <x:c r="D111" s="23" t="n">
        <x:v>95</x:v>
      </x:c>
      <x:c r="E111" s="23" t="n">
        <x:v>0</x:v>
      </x:c>
      <x:c r="F111" s="23" t="n">
        <x:v>4</x:v>
      </x:c>
      <x:c r="G111" s="23" t="n">
        <x:v>0</x:v>
      </x:c>
      <x:c r="H111" s="23" t="n">
        <x:v>4</x:v>
      </x:c>
      <x:c r="I111" s="23" t="n">
        <x:v>1</x:v>
      </x:c>
      <x:c r="J111" s="19" t="n">
        <x:f>IF(I111=1,G111,H111)</x:f>
        <x:v>0</x:v>
      </x:c>
      <x:c r="K111" s="19" t="n">
        <x:v>3</x:v>
      </x:c>
      <x:c r="L111" s="19" t="n">
        <x:f>K111+E111*0.5</x:f>
        <x:v>3</x:v>
      </x:c>
      <x:c r="M111" s="19" t="n">
        <x:f>D111+J111+F111*L111</x:f>
        <x:v>107</x:v>
      </x:c>
    </x:row>
    <x:row r="112" ht="25" customHeight="1">
      <x:c r="A112" s="10" t="str">
        <x:v>小宁</x:v>
      </x:c>
      <x:c r="B112" s="10" t="str">
        <x:v>xiaoning</x:v>
      </x:c>
      <x:c r="C112" s="10" t="str">
        <x:v>决心</x:v>
      </x:c>
      <x:c r="D112" s="23" t="n">
        <x:v>40</x:v>
      </x:c>
      <x:c r="E112" s="23" t="n">
        <x:v>0</x:v>
      </x:c>
      <x:c r="F112" s="23" t="n">
        <x:v>5</x:v>
      </x:c>
      <x:c r="G112" s="23" t="n">
        <x:v>0</x:v>
      </x:c>
      <x:c r="H112" s="23" t="n">
        <x:v>0</x:v>
      </x:c>
      <x:c r="I112" s="23" t="n">
        <x:v>1</x:v>
      </x:c>
      <x:c r="J112" s="19" t="n">
        <x:f>IF(I112=1,G112,H112)</x:f>
        <x:v>0</x:v>
      </x:c>
      <x:c r="K112" s="19" t="n">
        <x:v>3</x:v>
      </x:c>
      <x:c r="L112" s="19" t="n">
        <x:f>K112+E112*0.5</x:f>
        <x:v>3</x:v>
      </x:c>
      <x:c r="M112" s="19" t="n">
        <x:f>D112+J112+F112*L112</x:f>
        <x:v>55</x:v>
      </x:c>
    </x:row>
    <x:row r="113" ht="25" customHeight="1">
      <x:c r="A113" s="3" t="str">
        <x:v>小宁</x:v>
      </x:c>
      <x:c r="B113" s="3" t="str">
        <x:v>xiaoning</x:v>
      </x:c>
      <x:c r="C113" s="3" t="str">
        <x:v>先攻</x:v>
      </x:c>
      <x:c r="D113" s="23" t="n">
        <x:v>101</x:v>
      </x:c>
      <x:c r="E113" s="23" t="n">
        <x:v>0</x:v>
      </x:c>
      <x:c r="F113" s="23" t="n">
        <x:v>0</x:v>
      </x:c>
      <x:c r="G113" s="23" t="n">
        <x:v>3</x:v>
      </x:c>
      <x:c r="H113" s="23" t="n">
        <x:v>0</x:v>
      </x:c>
      <x:c r="I113" s="23" t="n">
        <x:v>1</x:v>
      </x:c>
      <x:c r="J113" s="19" t="n">
        <x:f>IF(I113=1,G113,H113)</x:f>
        <x:v>3</x:v>
      </x:c>
      <x:c r="K113" s="19" t="n">
        <x:v>4</x:v>
      </x:c>
      <x:c r="L113" s="19" t="n">
        <x:f>K113+E113*0.5</x:f>
        <x:v>4</x:v>
      </x:c>
      <x:c r="M113" s="19" t="n">
        <x:f>D113+J113+F113*L113</x:f>
        <x:v>104</x:v>
      </x:c>
    </x:row>
    <x:row r="114" ht="25" customHeight="1">
      <x:c r="A114" s="10" t="str">
        <x:v>小宁</x:v>
      </x:c>
      <x:c r="B114" s="10" t="str">
        <x:v>xiaoning</x:v>
      </x:c>
      <x:c r="C114" s="10" t="str">
        <x:v>近攻</x:v>
      </x:c>
      <x:c r="D114" s="23" t="n">
        <x:v>45</x:v>
      </x:c>
      <x:c r="E114" s="23" t="n">
        <x:v>0</x:v>
      </x:c>
      <x:c r="F114" s="23" t="n">
        <x:v>0</x:v>
      </x:c>
      <x:c r="G114" s="23" t="n">
        <x:v>0</x:v>
      </x:c>
      <x:c r="H114" s="23" t="n">
        <x:v>0</x:v>
      </x:c>
      <x:c r="I114" s="23" t="n">
        <x:v>1</x:v>
      </x:c>
      <x:c r="J114" s="19" t="n">
        <x:f>IF(I114=1,G114,H114)</x:f>
        <x:v>0</x:v>
      </x:c>
      <x:c r="K114" s="19" t="n">
        <x:v>2</x:v>
      </x:c>
      <x:c r="L114" s="19" t="n">
        <x:f>K114+E114*0.5</x:f>
        <x:v>2</x:v>
      </x:c>
      <x:c r="M114" s="19" t="n">
        <x:f>D114+J114+F114*L114</x:f>
        <x:v>45</x:v>
      </x:c>
    </x:row>
    <x:row r="115" ht="25" customHeight="1">
      <x:c r="A115" s="3" t="str">
        <x:v>小宁</x:v>
      </x:c>
      <x:c r="B115" s="3" t="str">
        <x:v>xiaoning</x:v>
      </x:c>
      <x:c r="C115" s="3" t="str">
        <x:v>远攻</x:v>
      </x:c>
      <x:c r="D115" s="23" t="n">
        <x:v>59</x:v>
      </x:c>
      <x:c r="E115" s="23" t="n">
        <x:v>2</x:v>
      </x:c>
      <x:c r="F115" s="23" t="n">
        <x:v>10</x:v>
      </x:c>
      <x:c r="G115" s="23" t="n">
        <x:v>3</x:v>
      </x:c>
      <x:c r="H115" s="23" t="n">
        <x:v>0</x:v>
      </x:c>
      <x:c r="I115" s="23" t="n">
        <x:v>1</x:v>
      </x:c>
      <x:c r="J115" s="19" t="n">
        <x:f>IF(I115=1,G115,H115)</x:f>
        <x:v>3</x:v>
      </x:c>
      <x:c r="K115" s="19" t="n">
        <x:v>3</x:v>
      </x:c>
      <x:c r="L115" s="19" t="n">
        <x:f>K115+E115*0.5</x:f>
        <x:v>4</x:v>
      </x:c>
      <x:c r="M115" s="19" t="n">
        <x:f>D115+J115+F115*L115</x:f>
        <x:v>102</x:v>
      </x:c>
    </x:row>
    <x:row r="116" ht="25" customHeight="1">
      <x:c r="A116" s="10" t="str">
        <x:v>小宁</x:v>
      </x:c>
      <x:c r="B116" s="10" t="str">
        <x:v>xiaoning</x:v>
      </x:c>
      <x:c r="C116" s="10" t="str">
        <x:v>近防</x:v>
      </x:c>
      <x:c r="D116" s="23" t="n">
        <x:v>2</x:v>
      </x:c>
      <x:c r="E116" s="23" t="n">
        <x:v>0</x:v>
      </x:c>
      <x:c r="F116" s="23" t="n">
        <x:v>0</x:v>
      </x:c>
      <x:c r="G116" s="23" t="n">
        <x:v>0</x:v>
      </x:c>
      <x:c r="H116" s="23" t="n">
        <x:v>0</x:v>
      </x:c>
      <x:c r="I116" s="23" t="n">
        <x:v>1</x:v>
      </x:c>
      <x:c r="J116" s="19" t="n">
        <x:f>IF(I116=1,G116,H116)</x:f>
        <x:v>0</x:v>
      </x:c>
      <x:c r="K116" s="19" t="n">
        <x:v>2</x:v>
      </x:c>
      <x:c r="L116" s="19" t="n">
        <x:f>K116+E116*0.5</x:f>
        <x:v>2</x:v>
      </x:c>
      <x:c r="M116" s="19" t="n">
        <x:f>D116+J116+F116*L116</x:f>
        <x:v>2</x:v>
      </x:c>
    </x:row>
    <x:row r="117" ht="25" customHeight="1">
      <x:c r="A117" s="3" t="str">
        <x:v>小宁</x:v>
      </x:c>
      <x:c r="B117" s="3" t="str">
        <x:v>xiaoning</x:v>
      </x:c>
      <x:c r="C117" s="3" t="str">
        <x:v>远防</x:v>
      </x:c>
      <x:c r="D117" s="23" t="n">
        <x:v>6</x:v>
      </x:c>
      <x:c r="E117" s="23" t="n">
        <x:v>1</x:v>
      </x:c>
      <x:c r="F117" s="23" t="n">
        <x:v>4</x:v>
      </x:c>
      <x:c r="G117" s="23" t="n">
        <x:v>0</x:v>
      </x:c>
      <x:c r="H117" s="23" t="n">
        <x:v>2</x:v>
      </x:c>
      <x:c r="I117" s="23" t="n">
        <x:v>1</x:v>
      </x:c>
      <x:c r="J117" s="19" t="n">
        <x:f>IF(I117=1,G117,H117)</x:f>
        <x:v>0</x:v>
      </x:c>
      <x:c r="K117" s="19" t="n">
        <x:v>3</x:v>
      </x:c>
      <x:c r="L117" s="19" t="n">
        <x:f>K117+E117*0.5</x:f>
        <x:v>3.5</x:v>
      </x:c>
      <x:c r="M117" s="19" t="n">
        <x:f>D117+J117+F117*L117</x:f>
        <x:v>20</x:v>
      </x:c>
    </x:row>
    <x:row r="118" ht="25" customHeight="1">
      <x:c r="A118" s="10" t="str">
        <x:v>小胖徐不快乐</x:v>
      </x:c>
      <x:c r="B118" s="10" t="str">
        <x:v>xiaopangxu</x:v>
      </x:c>
      <x:c r="C118" s="10" t="str">
        <x:v>生命</x:v>
      </x:c>
      <x:c r="D118" s="23" t="n">
        <x:v>66</x:v>
      </x:c>
      <x:c r="E118" s="23" t="n">
        <x:v>1</x:v>
      </x:c>
      <x:c r="F118" s="23" t="n">
        <x:v>8</x:v>
      </x:c>
      <x:c r="G118" s="23" t="n">
        <x:v>0</x:v>
      </x:c>
      <x:c r="H118" s="23" t="n">
        <x:v>0</x:v>
      </x:c>
      <x:c r="I118" s="23" t="n">
        <x:v>1</x:v>
      </x:c>
      <x:c r="J118" s="19" t="n">
        <x:f>IF(I118=1,G118,H118)</x:f>
        <x:v>0</x:v>
      </x:c>
      <x:c r="K118" s="19" t="n">
        <x:v>3</x:v>
      </x:c>
      <x:c r="L118" s="19" t="n">
        <x:f>K118+E118*0.5</x:f>
        <x:v>3.5</x:v>
      </x:c>
      <x:c r="M118" s="19" t="n">
        <x:f>D118+J118+F118*L118</x:f>
        <x:v>94</x:v>
      </x:c>
    </x:row>
    <x:row r="119" ht="25" customHeight="1">
      <x:c r="A119" s="3" t="str">
        <x:v>小胖徐不快乐</x:v>
      </x:c>
      <x:c r="B119" s="3" t="str">
        <x:v>xiaopangxu</x:v>
      </x:c>
      <x:c r="C119" s="3" t="str">
        <x:v>疲劳上限</x:v>
      </x:c>
      <x:c r="D119" s="23" t="n">
        <x:v>112</x:v>
      </x:c>
      <x:c r="E119" s="23" t="n">
        <x:v>2</x:v>
      </x:c>
      <x:c r="F119" s="23" t="n">
        <x:v>5</x:v>
      </x:c>
      <x:c r="G119" s="23" t="n">
        <x:v>0</x:v>
      </x:c>
      <x:c r="H119" s="23" t="n">
        <x:v>3</x:v>
      </x:c>
      <x:c r="I119" s="23" t="n">
        <x:v>1</x:v>
      </x:c>
      <x:c r="J119" s="19" t="n">
        <x:f>IF(I119=1,G119,H119)</x:f>
        <x:v>0</x:v>
      </x:c>
      <x:c r="K119" s="19" t="n">
        <x:v>3</x:v>
      </x:c>
      <x:c r="L119" s="19" t="n">
        <x:f>K119+E119*0.5</x:f>
        <x:v>4</x:v>
      </x:c>
      <x:c r="M119" s="19" t="n">
        <x:f>D119+J119+F119*L119</x:f>
        <x:v>132</x:v>
      </x:c>
    </x:row>
    <x:row r="120" ht="25" customHeight="1">
      <x:c r="A120" s="10" t="str">
        <x:v>小胖徐不快乐</x:v>
      </x:c>
      <x:c r="B120" s="10" t="str">
        <x:v>xiaopangxu</x:v>
      </x:c>
      <x:c r="C120" s="10" t="str">
        <x:v>决心</x:v>
      </x:c>
      <x:c r="D120" s="23" t="n">
        <x:v>42</x:v>
      </x:c>
      <x:c r="E120" s="23" t="n">
        <x:v>0</x:v>
      </x:c>
      <x:c r="F120" s="23" t="n">
        <x:v>7</x:v>
      </x:c>
      <x:c r="G120" s="23" t="n">
        <x:v>0</x:v>
      </x:c>
      <x:c r="H120" s="23" t="n">
        <x:v>0</x:v>
      </x:c>
      <x:c r="I120" s="23" t="n">
        <x:v>1</x:v>
      </x:c>
      <x:c r="J120" s="19" t="n">
        <x:f>IF(I120=1,G120,H120)</x:f>
        <x:v>0</x:v>
      </x:c>
      <x:c r="K120" s="19" t="n">
        <x:v>3</x:v>
      </x:c>
      <x:c r="L120" s="19" t="n">
        <x:f>K120+E120*0.5</x:f>
        <x:v>3</x:v>
      </x:c>
      <x:c r="M120" s="19" t="n">
        <x:f>D120+J120+F120*L120</x:f>
        <x:v>63</x:v>
      </x:c>
    </x:row>
    <x:row r="121" ht="25" customHeight="1">
      <x:c r="A121" s="3" t="str">
        <x:v>小胖徐不快乐</x:v>
      </x:c>
      <x:c r="B121" s="3" t="str">
        <x:v>xiaopangxu</x:v>
      </x:c>
      <x:c r="C121" s="3" t="str">
        <x:v>先攻</x:v>
      </x:c>
      <x:c r="D121" s="23" t="n">
        <x:v>88</x:v>
      </x:c>
      <x:c r="E121" s="23" t="n">
        <x:v>0</x:v>
      </x:c>
      <x:c r="F121" s="23" t="n">
        <x:v>0</x:v>
      </x:c>
      <x:c r="G121" s="23" t="n">
        <x:v>5</x:v>
      </x:c>
      <x:c r="H121" s="23" t="n">
        <x:v>0</x:v>
      </x:c>
      <x:c r="I121" s="23" t="n">
        <x:v>1</x:v>
      </x:c>
      <x:c r="J121" s="19" t="n">
        <x:f>IF(I121=1,G121,H121)</x:f>
        <x:v>5</x:v>
      </x:c>
      <x:c r="K121" s="19" t="n">
        <x:v>4</x:v>
      </x:c>
      <x:c r="L121" s="19" t="n">
        <x:f>K121+E121*0.5</x:f>
        <x:v>4</x:v>
      </x:c>
      <x:c r="M121" s="19" t="n">
        <x:f>D121+J121+F121*L121</x:f>
        <x:v>93</x:v>
      </x:c>
    </x:row>
    <x:row r="122" ht="25" customHeight="1">
      <x:c r="A122" s="10" t="str">
        <x:v>小胖徐不快乐</x:v>
      </x:c>
      <x:c r="B122" s="10" t="str">
        <x:v>xiaopangxu</x:v>
      </x:c>
      <x:c r="C122" s="10" t="str">
        <x:v>近攻</x:v>
      </x:c>
      <x:c r="D122" s="23" t="n">
        <x:v>55</x:v>
      </x:c>
      <x:c r="E122" s="23" t="n">
        <x:v>0</x:v>
      </x:c>
      <x:c r="F122" s="23" t="n">
        <x:v>0</x:v>
      </x:c>
      <x:c r="G122" s="23" t="n">
        <x:v>2</x:v>
      </x:c>
      <x:c r="H122" s="23" t="n">
        <x:v>0</x:v>
      </x:c>
      <x:c r="I122" s="23" t="n">
        <x:v>1</x:v>
      </x:c>
      <x:c r="J122" s="19" t="n">
        <x:f>IF(I122=1,G122,H122)</x:f>
        <x:v>2</x:v>
      </x:c>
      <x:c r="K122" s="19" t="n">
        <x:v>2</x:v>
      </x:c>
      <x:c r="L122" s="19" t="n">
        <x:f>K122+E122*0.5</x:f>
        <x:v>2</x:v>
      </x:c>
      <x:c r="M122" s="19" t="n">
        <x:f>D122+J122+F122*L122</x:f>
        <x:v>57</x:v>
      </x:c>
    </x:row>
    <x:row r="123" ht="25" customHeight="1">
      <x:c r="A123" s="3" t="str">
        <x:v>小胖徐不快乐</x:v>
      </x:c>
      <x:c r="B123" s="3" t="str">
        <x:v>xiaopangxu</x:v>
      </x:c>
      <x:c r="C123" s="3" t="str">
        <x:v>远攻</x:v>
      </x:c>
      <x:c r="D123" s="23" t="n">
        <x:v>30</x:v>
      </x:c>
      <x:c r="E123" s="23" t="n">
        <x:v>0</x:v>
      </x:c>
      <x:c r="F123" s="23" t="n">
        <x:v>0</x:v>
      </x:c>
      <x:c r="G123" s="23" t="n">
        <x:v>0</x:v>
      </x:c>
      <x:c r="H123" s="23" t="n">
        <x:v>0</x:v>
      </x:c>
      <x:c r="I123" s="23" t="n">
        <x:v>1</x:v>
      </x:c>
      <x:c r="J123" s="19" t="n">
        <x:f>IF(I123=1,G123,H123)</x:f>
        <x:v>0</x:v>
      </x:c>
      <x:c r="K123" s="19" t="n">
        <x:v>3</x:v>
      </x:c>
      <x:c r="L123" s="19" t="n">
        <x:f>K123+E123*0.5</x:f>
        <x:v>3</x:v>
      </x:c>
      <x:c r="M123" s="19" t="n">
        <x:f>D123+J123+F123*L123</x:f>
        <x:v>30</x:v>
      </x:c>
    </x:row>
    <x:row r="124" ht="25" customHeight="1">
      <x:c r="A124" s="10" t="str">
        <x:v>小胖徐不快乐</x:v>
      </x:c>
      <x:c r="B124" s="10" t="str">
        <x:v>xiaopangxu</x:v>
      </x:c>
      <x:c r="C124" s="10" t="str">
        <x:v>近防</x:v>
      </x:c>
      <x:c r="D124" s="23" t="n">
        <x:v>7</x:v>
      </x:c>
      <x:c r="E124" s="23" t="n">
        <x:v>2</x:v>
      </x:c>
      <x:c r="F124" s="23" t="n">
        <x:v>10</x:v>
      </x:c>
      <x:c r="G124" s="23" t="n">
        <x:v>0</x:v>
      </x:c>
      <x:c r="H124" s="23" t="n">
        <x:v>3</x:v>
      </x:c>
      <x:c r="I124" s="23" t="n">
        <x:v>1</x:v>
      </x:c>
      <x:c r="J124" s="19" t="n">
        <x:f>IF(I124=1,G124,H124)</x:f>
        <x:v>0</x:v>
      </x:c>
      <x:c r="K124" s="19" t="n">
        <x:v>2</x:v>
      </x:c>
      <x:c r="L124" s="19" t="n">
        <x:f>K124+E124*0.5</x:f>
        <x:v>3</x:v>
      </x:c>
      <x:c r="M124" s="19" t="n">
        <x:f>D124+J124+F124*L124</x:f>
        <x:v>37</x:v>
      </x:c>
    </x:row>
    <x:row r="125" ht="25" customHeight="1">
      <x:c r="A125" s="3" t="str">
        <x:v>小胖徐不快乐</x:v>
      </x:c>
      <x:c r="B125" s="3" t="str">
        <x:v>xiaopangxu</x:v>
      </x:c>
      <x:c r="C125" s="3" t="str">
        <x:v>远防</x:v>
      </x:c>
      <x:c r="D125" s="23" t="n">
        <x:v>1</x:v>
      </x:c>
      <x:c r="E125" s="23" t="n">
        <x:v>0</x:v>
      </x:c>
      <x:c r="F125" s="23" t="n">
        <x:v>0</x:v>
      </x:c>
      <x:c r="G125" s="23" t="n">
        <x:v>0</x:v>
      </x:c>
      <x:c r="H125" s="23" t="n">
        <x:v>0</x:v>
      </x:c>
      <x:c r="I125" s="23" t="n">
        <x:v>1</x:v>
      </x:c>
      <x:c r="J125" s="19" t="n">
        <x:f>IF(I125=1,G125,H125)</x:f>
        <x:v>0</x:v>
      </x:c>
      <x:c r="K125" s="19" t="n">
        <x:v>3</x:v>
      </x:c>
      <x:c r="L125" s="19" t="n">
        <x:f>K125+E125*0.5</x:f>
        <x:v>3</x:v>
      </x:c>
      <x:c r="M125" s="19" t="n">
        <x:f>D125+J125+F125*L125</x:f>
        <x:v>1</x:v>
      </x:c>
    </x:row>
    <x:row r="126" ht="25" customHeight="1">
      <x:c r="A126" s="10" t="str">
        <x:v>大鹅</x:v>
      </x:c>
      <x:c r="B126" s="10" t="str">
        <x:v>dae</x:v>
      </x:c>
      <x:c r="C126" s="10" t="str">
        <x:v>生命</x:v>
      </x:c>
      <x:c r="D126" s="23" t="n">
        <x:v>64</x:v>
      </x:c>
      <x:c r="E126" s="23" t="n">
        <x:v>1</x:v>
      </x:c>
      <x:c r="F126" s="23" t="n">
        <x:v>8</x:v>
      </x:c>
      <x:c r="G126" s="23" t="n">
        <x:v>0</x:v>
      </x:c>
      <x:c r="H126" s="23" t="n">
        <x:v>4</x:v>
      </x:c>
      <x:c r="I126" s="23" t="n">
        <x:v>1</x:v>
      </x:c>
      <x:c r="J126" s="19" t="n">
        <x:f>IF(I126=1,G126,H126)</x:f>
        <x:v>0</x:v>
      </x:c>
      <x:c r="K126" s="19" t="n">
        <x:v>3</x:v>
      </x:c>
      <x:c r="L126" s="19" t="n">
        <x:f>K126+E126*0.5</x:f>
        <x:v>3.5</x:v>
      </x:c>
      <x:c r="M126" s="19" t="n">
        <x:f>D126+J126+F126*L126</x:f>
        <x:v>92</x:v>
      </x:c>
    </x:row>
    <x:row r="127" ht="25" customHeight="1">
      <x:c r="A127" s="3" t="str">
        <x:v>大鹅</x:v>
      </x:c>
      <x:c r="B127" s="3" t="str">
        <x:v>dae</x:v>
      </x:c>
      <x:c r="C127" s="3" t="str">
        <x:v>疲劳上限</x:v>
      </x:c>
      <x:c r="D127" s="23" t="n">
        <x:v>102</x:v>
      </x:c>
      <x:c r="E127" s="23" t="n">
        <x:v>0</x:v>
      </x:c>
      <x:c r="F127" s="23" t="n">
        <x:v>5</x:v>
      </x:c>
      <x:c r="G127" s="23" t="n">
        <x:v>0</x:v>
      </x:c>
      <x:c r="H127" s="23" t="n">
        <x:v>0</x:v>
      </x:c>
      <x:c r="I127" s="23" t="n">
        <x:v>1</x:v>
      </x:c>
      <x:c r="J127" s="19" t="n">
        <x:f>IF(I127=1,G127,H127)</x:f>
        <x:v>0</x:v>
      </x:c>
      <x:c r="K127" s="19" t="n">
        <x:v>3</x:v>
      </x:c>
      <x:c r="L127" s="19" t="n">
        <x:f>K127+E127*0.5</x:f>
        <x:v>3</x:v>
      </x:c>
      <x:c r="M127" s="19" t="n">
        <x:f>D127+J127+F127*L127</x:f>
        <x:v>117</x:v>
      </x:c>
    </x:row>
    <x:row r="128" ht="25" customHeight="1">
      <x:c r="A128" s="10" t="str">
        <x:v>大鹅</x:v>
      </x:c>
      <x:c r="B128" s="10" t="str">
        <x:v>dae</x:v>
      </x:c>
      <x:c r="C128" s="10" t="str">
        <x:v>决心</x:v>
      </x:c>
      <x:c r="D128" s="23" t="n">
        <x:v>48</x:v>
      </x:c>
      <x:c r="E128" s="23" t="n">
        <x:v>2</x:v>
      </x:c>
      <x:c r="F128" s="23" t="n">
        <x:v>7</x:v>
      </x:c>
      <x:c r="G128" s="23" t="n">
        <x:v>2</x:v>
      </x:c>
      <x:c r="H128" s="23" t="n">
        <x:v>3</x:v>
      </x:c>
      <x:c r="I128" s="23" t="n">
        <x:v>1</x:v>
      </x:c>
      <x:c r="J128" s="19" t="n">
        <x:f>IF(I128=1,G128,H128)</x:f>
        <x:v>2</x:v>
      </x:c>
      <x:c r="K128" s="19" t="n">
        <x:v>3</x:v>
      </x:c>
      <x:c r="L128" s="19" t="n">
        <x:f>K128+E128*0.5</x:f>
        <x:v>4</x:v>
      </x:c>
      <x:c r="M128" s="19" t="n">
        <x:f>D128+J128+F128*L128</x:f>
        <x:v>78</x:v>
      </x:c>
    </x:row>
    <x:row r="129" ht="25" customHeight="1">
      <x:c r="A129" s="3" t="str">
        <x:v>大鹅</x:v>
      </x:c>
      <x:c r="B129" s="3" t="str">
        <x:v>dae</x:v>
      </x:c>
      <x:c r="C129" s="3" t="str">
        <x:v>先攻</x:v>
      </x:c>
      <x:c r="D129" s="23" t="n">
        <x:v>90</x:v>
      </x:c>
      <x:c r="E129" s="23" t="n">
        <x:v>0</x:v>
      </x:c>
      <x:c r="F129" s="23" t="n">
        <x:v>0</x:v>
      </x:c>
      <x:c r="G129" s="23" t="n">
        <x:v>0</x:v>
      </x:c>
      <x:c r="H129" s="23" t="n">
        <x:v>0</x:v>
      </x:c>
      <x:c r="I129" s="23" t="n">
        <x:v>1</x:v>
      </x:c>
      <x:c r="J129" s="19" t="n">
        <x:f>IF(I129=1,G129,H129)</x:f>
        <x:v>0</x:v>
      </x:c>
      <x:c r="K129" s="19" t="n">
        <x:v>4</x:v>
      </x:c>
      <x:c r="L129" s="19" t="n">
        <x:f>K129+E129*0.5</x:f>
        <x:v>4</x:v>
      </x:c>
      <x:c r="M129" s="19" t="n">
        <x:f>D129+J129+F129*L129</x:f>
        <x:v>90</x:v>
      </x:c>
    </x:row>
    <x:row r="130" ht="25" customHeight="1">
      <x:c r="A130" s="10" t="str">
        <x:v>大鹅</x:v>
      </x:c>
      <x:c r="B130" s="10" t="str">
        <x:v>dae</x:v>
      </x:c>
      <x:c r="C130" s="10" t="str">
        <x:v>近攻</x:v>
      </x:c>
      <x:c r="D130" s="23" t="n">
        <x:v>54</x:v>
      </x:c>
      <x:c r="E130" s="23" t="n">
        <x:v>0</x:v>
      </x:c>
      <x:c r="F130" s="23" t="n">
        <x:v>0</x:v>
      </x:c>
      <x:c r="G130" s="23" t="n">
        <x:v>0</x:v>
      </x:c>
      <x:c r="H130" s="23" t="n">
        <x:v>0</x:v>
      </x:c>
      <x:c r="I130" s="23" t="n">
        <x:v>1</x:v>
      </x:c>
      <x:c r="J130" s="19" t="n">
        <x:f>IF(I130=1,G130,H130)</x:f>
        <x:v>0</x:v>
      </x:c>
      <x:c r="K130" s="19" t="n">
        <x:v>2</x:v>
      </x:c>
      <x:c r="L130" s="19" t="n">
        <x:f>K130+E130*0.5</x:f>
        <x:v>2</x:v>
      </x:c>
      <x:c r="M130" s="19" t="n">
        <x:f>D130+J130+F130*L130</x:f>
        <x:v>54</x:v>
      </x:c>
    </x:row>
    <x:row r="131" ht="25" customHeight="1">
      <x:c r="A131" s="3" t="str">
        <x:v>大鹅</x:v>
      </x:c>
      <x:c r="B131" s="3" t="str">
        <x:v>dae</x:v>
      </x:c>
      <x:c r="C131" s="3" t="str">
        <x:v>远攻</x:v>
      </x:c>
      <x:c r="D131" s="23" t="n">
        <x:v>31</x:v>
      </x:c>
      <x:c r="E131" s="23" t="n">
        <x:v>0</x:v>
      </x:c>
      <x:c r="F131" s="23" t="n">
        <x:v>0</x:v>
      </x:c>
      <x:c r="G131" s="23" t="n">
        <x:v>0</x:v>
      </x:c>
      <x:c r="H131" s="23" t="n">
        <x:v>0</x:v>
      </x:c>
      <x:c r="I131" s="23" t="n">
        <x:v>1</x:v>
      </x:c>
      <x:c r="J131" s="19" t="n">
        <x:f>IF(I131=1,G131,H131)</x:f>
        <x:v>0</x:v>
      </x:c>
      <x:c r="K131" s="19" t="n">
        <x:v>3</x:v>
      </x:c>
      <x:c r="L131" s="19" t="n">
        <x:f>K131+E131*0.5</x:f>
        <x:v>3</x:v>
      </x:c>
      <x:c r="M131" s="19" t="n">
        <x:f>D131+J131+F131*L131</x:f>
        <x:v>31</x:v>
      </x:c>
    </x:row>
    <x:row r="132" ht="25" customHeight="1">
      <x:c r="A132" s="10" t="str">
        <x:v>大鹅</x:v>
      </x:c>
      <x:c r="B132" s="10" t="str">
        <x:v>dae</x:v>
      </x:c>
      <x:c r="C132" s="10" t="str">
        <x:v>近防</x:v>
      </x:c>
      <x:c r="D132" s="23" t="n">
        <x:v>8</x:v>
      </x:c>
      <x:c r="E132" s="23" t="n">
        <x:v>3</x:v>
      </x:c>
      <x:c r="F132" s="23" t="n">
        <x:v>10</x:v>
      </x:c>
      <x:c r="G132" s="23" t="n">
        <x:v>3</x:v>
      </x:c>
      <x:c r="H132" s="23" t="n">
        <x:v>0</x:v>
      </x:c>
      <x:c r="I132" s="23" t="n">
        <x:v>1</x:v>
      </x:c>
      <x:c r="J132" s="19" t="n">
        <x:f>IF(I132=1,G132,H132)</x:f>
        <x:v>3</x:v>
      </x:c>
      <x:c r="K132" s="19" t="n">
        <x:v>2</x:v>
      </x:c>
      <x:c r="L132" s="19" t="n">
        <x:f>K132+E132*0.5</x:f>
        <x:v>3.5</x:v>
      </x:c>
      <x:c r="M132" s="19" t="n">
        <x:f>D132+J132+F132*L132</x:f>
        <x:v>46</x:v>
      </x:c>
    </x:row>
    <x:row r="133" ht="25" customHeight="1">
      <x:c r="A133" s="3" t="str">
        <x:v>大鹅</x:v>
      </x:c>
      <x:c r="B133" s="3" t="str">
        <x:v>dae</x:v>
      </x:c>
      <x:c r="C133" s="3" t="str">
        <x:v>远防</x:v>
      </x:c>
      <x:c r="D133" s="23" t="n">
        <x:v>2</x:v>
      </x:c>
      <x:c r="E133" s="23" t="n">
        <x:v>0</x:v>
      </x:c>
      <x:c r="F133" s="23" t="n">
        <x:v>0</x:v>
      </x:c>
      <x:c r="G133" s="23" t="n">
        <x:v>0</x:v>
      </x:c>
      <x:c r="H133" s="23" t="n">
        <x:v>0</x:v>
      </x:c>
      <x:c r="I133" s="23" t="n">
        <x:v>1</x:v>
      </x:c>
      <x:c r="J133" s="19" t="n">
        <x:f>IF(I133=1,G133,H133)</x:f>
        <x:v>0</x:v>
      </x:c>
      <x:c r="K133" s="19" t="n">
        <x:v>3</x:v>
      </x:c>
      <x:c r="L133" s="19" t="n">
        <x:f>K133+E133*0.5</x:f>
        <x:v>3</x:v>
      </x:c>
      <x:c r="M133" s="19" t="n">
        <x:f>D133+J133+F133*L133</x:f>
        <x:v>2</x:v>
      </x:c>
    </x:row>
    <x:row r="134" ht="25" customHeight="1">
      <x:c r="A134" s="10" t="str">
        <x:v>蔓越莓</x:v>
      </x:c>
      <x:c r="B134" s="10" t="str">
        <x:v>manyuemei</x:v>
      </x:c>
      <x:c r="C134" s="10" t="str">
        <x:v>生命</x:v>
      </x:c>
      <x:c r="D134" s="23" t="n">
        <x:v>52</x:v>
      </x:c>
      <x:c r="E134" s="23" t="n">
        <x:v>0</x:v>
      </x:c>
      <x:c r="F134" s="23" t="n">
        <x:v>7</x:v>
      </x:c>
      <x:c r="G134" s="23" t="n">
        <x:v>0</x:v>
      </x:c>
      <x:c r="H134" s="23" t="n">
        <x:v>0</x:v>
      </x:c>
      <x:c r="I134" s="23" t="n">
        <x:v>1</x:v>
      </x:c>
      <x:c r="J134" s="19" t="n">
        <x:f>IF(I134=1,G134,H134)</x:f>
        <x:v>0</x:v>
      </x:c>
      <x:c r="K134" s="19" t="n">
        <x:v>3</x:v>
      </x:c>
      <x:c r="L134" s="19" t="n">
        <x:f>K134+E134*0.5</x:f>
        <x:v>3</x:v>
      </x:c>
      <x:c r="M134" s="19" t="n">
        <x:f>D134+J134+F134*L134</x:f>
        <x:v>73</x:v>
      </x:c>
    </x:row>
    <x:row r="135" ht="25" customHeight="1">
      <x:c r="A135" s="3" t="str">
        <x:v>蔓越莓</x:v>
      </x:c>
      <x:c r="B135" s="3" t="str">
        <x:v>manyuemei</x:v>
      </x:c>
      <x:c r="C135" s="3" t="str">
        <x:v>疲劳上限</x:v>
      </x:c>
      <x:c r="D135" s="23" t="n">
        <x:v>98</x:v>
      </x:c>
      <x:c r="E135" s="23" t="n">
        <x:v>0</x:v>
      </x:c>
      <x:c r="F135" s="23" t="n">
        <x:v>3</x:v>
      </x:c>
      <x:c r="G135" s="23" t="n">
        <x:v>0</x:v>
      </x:c>
      <x:c r="H135" s="23" t="n">
        <x:v>0</x:v>
      </x:c>
      <x:c r="I135" s="23" t="n">
        <x:v>1</x:v>
      </x:c>
      <x:c r="J135" s="19" t="n">
        <x:f>IF(I135=1,G135,H135)</x:f>
        <x:v>0</x:v>
      </x:c>
      <x:c r="K135" s="19" t="n">
        <x:v>3</x:v>
      </x:c>
      <x:c r="L135" s="19" t="n">
        <x:f>K135+E135*0.5</x:f>
        <x:v>3</x:v>
      </x:c>
      <x:c r="M135" s="19" t="n">
        <x:f>D135+J135+F135*L135</x:f>
        <x:v>107</x:v>
      </x:c>
    </x:row>
    <x:row r="136" ht="25" customHeight="1">
      <x:c r="A136" s="10" t="str">
        <x:v>蔓越莓</x:v>
      </x:c>
      <x:c r="B136" s="10" t="str">
        <x:v>manyuemei</x:v>
      </x:c>
      <x:c r="C136" s="10" t="str">
        <x:v>决心</x:v>
      </x:c>
      <x:c r="D136" s="23" t="n">
        <x:v>44</x:v>
      </x:c>
      <x:c r="E136" s="23" t="n">
        <x:v>1</x:v>
      </x:c>
      <x:c r="F136" s="23" t="n">
        <x:v>4</x:v>
      </x:c>
      <x:c r="G136" s="23" t="n">
        <x:v>4</x:v>
      </x:c>
      <x:c r="H136" s="23" t="n">
        <x:v>0</x:v>
      </x:c>
      <x:c r="I136" s="23" t="n">
        <x:v>1</x:v>
      </x:c>
      <x:c r="J136" s="19" t="n">
        <x:f>IF(I136=1,G136,H136)</x:f>
        <x:v>4</x:v>
      </x:c>
      <x:c r="K136" s="19" t="n">
        <x:v>3</x:v>
      </x:c>
      <x:c r="L136" s="19" t="n">
        <x:f>K136+E136*0.5</x:f>
        <x:v>3.5</x:v>
      </x:c>
      <x:c r="M136" s="19" t="n">
        <x:f>D136+J136+F136*L136</x:f>
        <x:v>62</x:v>
      </x:c>
    </x:row>
    <x:row r="137" ht="25" customHeight="1">
      <x:c r="A137" s="3" t="str">
        <x:v>蔓越莓</x:v>
      </x:c>
      <x:c r="B137" s="3" t="str">
        <x:v>manyuemei</x:v>
      </x:c>
      <x:c r="C137" s="3" t="str">
        <x:v>先攻</x:v>
      </x:c>
      <x:c r="D137" s="23" t="n">
        <x:v>117</x:v>
      </x:c>
      <x:c r="E137" s="23" t="n">
        <x:v>2</x:v>
      </x:c>
      <x:c r="F137" s="23" t="n">
        <x:v>0</x:v>
      </x:c>
      <x:c r="G137" s="23" t="n">
        <x:v>3</x:v>
      </x:c>
      <x:c r="H137" s="23" t="n">
        <x:v>0</x:v>
      </x:c>
      <x:c r="I137" s="23" t="n">
        <x:v>1</x:v>
      </x:c>
      <x:c r="J137" s="19" t="n">
        <x:f>IF(I137=1,G137,H137)</x:f>
        <x:v>3</x:v>
      </x:c>
      <x:c r="K137" s="19" t="n">
        <x:v>4</x:v>
      </x:c>
      <x:c r="L137" s="19" t="n">
        <x:f>K137+E137*0.5</x:f>
        <x:v>5</x:v>
      </x:c>
      <x:c r="M137" s="19" t="n">
        <x:f>D137+J137+F137*L137</x:f>
        <x:v>120</x:v>
      </x:c>
    </x:row>
    <x:row r="138" ht="25" customHeight="1">
      <x:c r="A138" s="10" t="str">
        <x:v>蔓越莓</x:v>
      </x:c>
      <x:c r="B138" s="10" t="str">
        <x:v>manyuemei</x:v>
      </x:c>
      <x:c r="C138" s="10" t="str">
        <x:v>近攻</x:v>
      </x:c>
      <x:c r="D138" s="23" t="n">
        <x:v>46</x:v>
      </x:c>
      <x:c r="E138" s="23" t="n">
        <x:v>0</x:v>
      </x:c>
      <x:c r="F138" s="23" t="n">
        <x:v>0</x:v>
      </x:c>
      <x:c r="G138" s="23" t="n">
        <x:v>0</x:v>
      </x:c>
      <x:c r="H138" s="23" t="n">
        <x:v>0</x:v>
      </x:c>
      <x:c r="I138" s="23" t="n">
        <x:v>1</x:v>
      </x:c>
      <x:c r="J138" s="19" t="n">
        <x:f>IF(I138=1,G138,H138)</x:f>
        <x:v>0</x:v>
      </x:c>
      <x:c r="K138" s="19" t="n">
        <x:v>2</x:v>
      </x:c>
      <x:c r="L138" s="19" t="n">
        <x:f>K138+E138*0.5</x:f>
        <x:v>2</x:v>
      </x:c>
      <x:c r="M138" s="19" t="n">
        <x:f>D138+J138+F138*L138</x:f>
        <x:v>46</x:v>
      </x:c>
    </x:row>
    <x:row r="139" ht="25" customHeight="1">
      <x:c r="A139" s="3" t="str">
        <x:v>蔓越莓</x:v>
      </x:c>
      <x:c r="B139" s="3" t="str">
        <x:v>manyuemei</x:v>
      </x:c>
      <x:c r="C139" s="3" t="str">
        <x:v>远攻</x:v>
      </x:c>
      <x:c r="D139" s="23" t="n">
        <x:v>58</x:v>
      </x:c>
      <x:c r="E139" s="23" t="n">
        <x:v>2</x:v>
      </x:c>
      <x:c r="F139" s="23" t="n">
        <x:v>10</x:v>
      </x:c>
      <x:c r="G139" s="23" t="n">
        <x:v>0</x:v>
      </x:c>
      <x:c r="H139" s="23" t="n">
        <x:v>3</x:v>
      </x:c>
      <x:c r="I139" s="23" t="n">
        <x:v>1</x:v>
      </x:c>
      <x:c r="J139" s="19" t="n">
        <x:f>IF(I139=1,G139,H139)</x:f>
        <x:v>0</x:v>
      </x:c>
      <x:c r="K139" s="19" t="n">
        <x:v>3</x:v>
      </x:c>
      <x:c r="L139" s="19" t="n">
        <x:f>K139+E139*0.5</x:f>
        <x:v>4</x:v>
      </x:c>
      <x:c r="M139" s="19" t="n">
        <x:f>D139+J139+F139*L139</x:f>
        <x:v>98</x:v>
      </x:c>
    </x:row>
    <x:row r="140" ht="25" customHeight="1">
      <x:c r="A140" s="10" t="str">
        <x:v>蔓越莓</x:v>
      </x:c>
      <x:c r="B140" s="10" t="str">
        <x:v>manyuemei</x:v>
      </x:c>
      <x:c r="C140" s="10" t="str">
        <x:v>近防</x:v>
      </x:c>
      <x:c r="D140" s="23" t="n">
        <x:v>2</x:v>
      </x:c>
      <x:c r="E140" s="23" t="n">
        <x:v>0</x:v>
      </x:c>
      <x:c r="F140" s="23" t="n">
        <x:v>6</x:v>
      </x:c>
      <x:c r="G140" s="23" t="n">
        <x:v>0</x:v>
      </x:c>
      <x:c r="H140" s="23" t="n">
        <x:v>0</x:v>
      </x:c>
      <x:c r="I140" s="23" t="n">
        <x:v>1</x:v>
      </x:c>
      <x:c r="J140" s="19" t="n">
        <x:f>IF(I140=1,G140,H140)</x:f>
        <x:v>0</x:v>
      </x:c>
      <x:c r="K140" s="19" t="n">
        <x:v>2</x:v>
      </x:c>
      <x:c r="L140" s="19" t="n">
        <x:f>K140+E140*0.5</x:f>
        <x:v>2</x:v>
      </x:c>
      <x:c r="M140" s="19" t="n">
        <x:f>D140+J140+F140*L140</x:f>
        <x:v>14</x:v>
      </x:c>
    </x:row>
    <x:row r="141" ht="25" customHeight="1">
      <x:c r="A141" s="3" t="str">
        <x:v>蔓越莓</x:v>
      </x:c>
      <x:c r="B141" s="3" t="str">
        <x:v>manyuemei</x:v>
      </x:c>
      <x:c r="C141" s="3" t="str">
        <x:v>远防</x:v>
      </x:c>
      <x:c r="D141" s="23" t="n">
        <x:v>6</x:v>
      </x:c>
      <x:c r="E141" s="23" t="n">
        <x:v>0</x:v>
      </x:c>
      <x:c r="F141" s="23" t="n">
        <x:v>0</x:v>
      </x:c>
      <x:c r="G141" s="23" t="n">
        <x:v>0</x:v>
      </x:c>
      <x:c r="H141" s="23" t="n">
        <x:v>2</x:v>
      </x:c>
      <x:c r="I141" s="23" t="n">
        <x:v>1</x:v>
      </x:c>
      <x:c r="J141" s="19" t="n">
        <x:f>IF(I141=1,G141,H141)</x:f>
        <x:v>0</x:v>
      </x:c>
      <x:c r="K141" s="19" t="n">
        <x:v>3</x:v>
      </x:c>
      <x:c r="L141" s="19" t="n">
        <x:f>K141+E141*0.5</x:f>
        <x:v>3</x:v>
      </x:c>
      <x:c r="M141" s="19" t="n">
        <x:f>D141+J141+F141*L141</x:f>
        <x:v>6</x:v>
      </x:c>
    </x:row>
    <x:row r="142" ht="25" customHeight="1">
      <x:c r="A142" s="10" t="str">
        <x:v>罗一可</x:v>
      </x:c>
      <x:c r="B142" s="10" t="str">
        <x:v>xiaohani</x:v>
      </x:c>
      <x:c r="C142" s="10" t="str">
        <x:v>生命</x:v>
      </x:c>
      <x:c r="D142" s="23" t="n">
        <x:v>55</x:v>
      </x:c>
      <x:c r="E142" s="23" t="n">
        <x:v>0</x:v>
      </x:c>
      <x:c r="F142" s="23" t="n">
        <x:v>5</x:v>
      </x:c>
      <x:c r="G142" s="23" t="n">
        <x:v>0</x:v>
      </x:c>
      <x:c r="H142" s="23" t="n">
        <x:v>0</x:v>
      </x:c>
      <x:c r="I142" s="23" t="n">
        <x:v>1</x:v>
      </x:c>
      <x:c r="J142" s="19" t="n">
        <x:f>IF(I142=1,G142,H142)</x:f>
        <x:v>0</x:v>
      </x:c>
      <x:c r="K142" s="19" t="n">
        <x:v>3</x:v>
      </x:c>
      <x:c r="L142" s="19" t="n">
        <x:f>K142+E142*0.5</x:f>
        <x:v>3</x:v>
      </x:c>
      <x:c r="M142" s="19" t="n">
        <x:f>D142+J142+F142*L142</x:f>
        <x:v>70</x:v>
      </x:c>
    </x:row>
    <x:row r="143" ht="25" customHeight="1">
      <x:c r="A143" s="3" t="str">
        <x:v>罗一可</x:v>
      </x:c>
      <x:c r="B143" s="3" t="str">
        <x:v>xiaohani</x:v>
      </x:c>
      <x:c r="C143" s="3" t="str">
        <x:v>疲劳上限</x:v>
      </x:c>
      <x:c r="D143" s="23" t="n">
        <x:v>101</x:v>
      </x:c>
      <x:c r="E143" s="23" t="n">
        <x:v>0</x:v>
      </x:c>
      <x:c r="F143" s="23" t="n">
        <x:v>0</x:v>
      </x:c>
      <x:c r="G143" s="23" t="n">
        <x:v>5</x:v>
      </x:c>
      <x:c r="H143" s="23" t="n">
        <x:v>0</x:v>
      </x:c>
      <x:c r="I143" s="23" t="n">
        <x:v>1</x:v>
      </x:c>
      <x:c r="J143" s="19" t="n">
        <x:f>IF(I143=1,G143,H143)</x:f>
        <x:v>5</x:v>
      </x:c>
      <x:c r="K143" s="19" t="n">
        <x:v>3</x:v>
      </x:c>
      <x:c r="L143" s="19" t="n">
        <x:f>K143+E143*0.5</x:f>
        <x:v>3</x:v>
      </x:c>
      <x:c r="M143" s="19" t="n">
        <x:f>D143+J143+F143*L143</x:f>
        <x:v>106</x:v>
      </x:c>
    </x:row>
    <x:row r="144" ht="25" customHeight="1">
      <x:c r="A144" s="10" t="str">
        <x:v>罗一可</x:v>
      </x:c>
      <x:c r="B144" s="10" t="str">
        <x:v>xiaohani</x:v>
      </x:c>
      <x:c r="C144" s="10" t="str">
        <x:v>决心</x:v>
      </x:c>
      <x:c r="D144" s="23" t="n">
        <x:v>43</x:v>
      </x:c>
      <x:c r="E144" s="23" t="n">
        <x:v>0</x:v>
      </x:c>
      <x:c r="F144" s="23" t="n">
        <x:v>3</x:v>
      </x:c>
      <x:c r="G144" s="23" t="n">
        <x:v>0</x:v>
      </x:c>
      <x:c r="H144" s="23" t="n">
        <x:v>4</x:v>
      </x:c>
      <x:c r="I144" s="23" t="n">
        <x:v>1</x:v>
      </x:c>
      <x:c r="J144" s="19" t="n">
        <x:f>IF(I144=1,G144,H144)</x:f>
        <x:v>0</x:v>
      </x:c>
      <x:c r="K144" s="19" t="n">
        <x:v>3</x:v>
      </x:c>
      <x:c r="L144" s="19" t="n">
        <x:f>K144+E144*0.5</x:f>
        <x:v>3</x:v>
      </x:c>
      <x:c r="M144" s="19" t="n">
        <x:f>D144+J144+F144*L144</x:f>
        <x:v>52</x:v>
      </x:c>
    </x:row>
    <x:row r="145" ht="25" customHeight="1">
      <x:c r="A145" s="3" t="str">
        <x:v>罗一可</x:v>
      </x:c>
      <x:c r="B145" s="3" t="str">
        <x:v>xiaohani</x:v>
      </x:c>
      <x:c r="C145" s="3" t="str">
        <x:v>先攻</x:v>
      </x:c>
      <x:c r="D145" s="23" t="n">
        <x:v>121</x:v>
      </x:c>
      <x:c r="E145" s="23" t="n">
        <x:v>2</x:v>
      </x:c>
      <x:c r="F145" s="23" t="n">
        <x:v>2</x:v>
      </x:c>
      <x:c r="G145" s="23" t="n">
        <x:v>2</x:v>
      </x:c>
      <x:c r="H145" s="23" t="n">
        <x:v>0</x:v>
      </x:c>
      <x:c r="I145" s="23" t="n">
        <x:v>1</x:v>
      </x:c>
      <x:c r="J145" s="19" t="n">
        <x:f>IF(I145=1,G145,H145)</x:f>
        <x:v>2</x:v>
      </x:c>
      <x:c r="K145" s="19" t="n">
        <x:v>4</x:v>
      </x:c>
      <x:c r="L145" s="19" t="n">
        <x:f>K145+E145*0.5</x:f>
        <x:v>5</x:v>
      </x:c>
      <x:c r="M145" s="19" t="n">
        <x:f>D145+J145+F145*L145</x:f>
        <x:v>133</x:v>
      </x:c>
    </x:row>
    <x:row r="146" ht="25" customHeight="1">
      <x:c r="A146" s="10" t="str">
        <x:v>罗一可</x:v>
      </x:c>
      <x:c r="B146" s="10" t="str">
        <x:v>xiaohani</x:v>
      </x:c>
      <x:c r="C146" s="10" t="str">
        <x:v>近攻</x:v>
      </x:c>
      <x:c r="D146" s="23" t="n">
        <x:v>58</x:v>
      </x:c>
      <x:c r="E146" s="23" t="n">
        <x:v>1</x:v>
      </x:c>
      <x:c r="F146" s="23" t="n">
        <x:v>10</x:v>
      </x:c>
      <x:c r="G146" s="23" t="n">
        <x:v>0</x:v>
      </x:c>
      <x:c r="H146" s="23" t="n">
        <x:v>0</x:v>
      </x:c>
      <x:c r="I146" s="23" t="n">
        <x:v>1</x:v>
      </x:c>
      <x:c r="J146" s="19" t="n">
        <x:f>IF(I146=1,G146,H146)</x:f>
        <x:v>0</x:v>
      </x:c>
      <x:c r="K146" s="19" t="n">
        <x:v>2</x:v>
      </x:c>
      <x:c r="L146" s="19" t="n">
        <x:f>K146+E146*0.5</x:f>
        <x:v>2.5</x:v>
      </x:c>
      <x:c r="M146" s="19" t="n">
        <x:f>D146+J146+F146*L146</x:f>
        <x:v>83</x:v>
      </x:c>
    </x:row>
    <x:row r="147" ht="25" customHeight="1">
      <x:c r="A147" s="3" t="str">
        <x:v>罗一可</x:v>
      </x:c>
      <x:c r="B147" s="3" t="str">
        <x:v>xiaohani</x:v>
      </x:c>
      <x:c r="C147" s="3" t="str">
        <x:v>远攻</x:v>
      </x:c>
      <x:c r="D147" s="23" t="n">
        <x:v>38</x:v>
      </x:c>
      <x:c r="E147" s="23" t="n">
        <x:v>0</x:v>
      </x:c>
      <x:c r="F147" s="23" t="n">
        <x:v>0</x:v>
      </x:c>
      <x:c r="G147" s="23" t="n">
        <x:v>0</x:v>
      </x:c>
      <x:c r="H147" s="23" t="n">
        <x:v>0</x:v>
      </x:c>
      <x:c r="I147" s="23" t="n">
        <x:v>1</x:v>
      </x:c>
      <x:c r="J147" s="19" t="n">
        <x:f>IF(I147=1,G147,H147)</x:f>
        <x:v>0</x:v>
      </x:c>
      <x:c r="K147" s="19" t="n">
        <x:v>3</x:v>
      </x:c>
      <x:c r="L147" s="19" t="n">
        <x:f>K147+E147*0.5</x:f>
        <x:v>3</x:v>
      </x:c>
      <x:c r="M147" s="19" t="n">
        <x:f>D147+J147+F147*L147</x:f>
        <x:v>38</x:v>
      </x:c>
    </x:row>
    <x:row r="148" ht="25" customHeight="1">
      <x:c r="A148" s="10" t="str">
        <x:v>罗一可</x:v>
      </x:c>
      <x:c r="B148" s="10" t="str">
        <x:v>xiaohani</x:v>
      </x:c>
      <x:c r="C148" s="10" t="str">
        <x:v>近防</x:v>
      </x:c>
      <x:c r="D148" s="23" t="n">
        <x:v>5</x:v>
      </x:c>
      <x:c r="E148" s="23" t="n">
        <x:v>1</x:v>
      </x:c>
      <x:c r="F148" s="23" t="n">
        <x:v>10</x:v>
      </x:c>
      <x:c r="G148" s="23" t="n">
        <x:v>0</x:v>
      </x:c>
      <x:c r="H148" s="23" t="n">
        <x:v>2</x:v>
      </x:c>
      <x:c r="I148" s="23" t="n">
        <x:v>1</x:v>
      </x:c>
      <x:c r="J148" s="19" t="n">
        <x:f>IF(I148=1,G148,H148)</x:f>
        <x:v>0</x:v>
      </x:c>
      <x:c r="K148" s="19" t="n">
        <x:v>2</x:v>
      </x:c>
      <x:c r="L148" s="19" t="n">
        <x:f>K148+E148*0.5</x:f>
        <x:v>2.5</x:v>
      </x:c>
      <x:c r="M148" s="19" t="n">
        <x:f>D148+J148+F148*L148</x:f>
        <x:v>30</x:v>
      </x:c>
    </x:row>
    <x:row r="149" ht="25" customHeight="1">
      <x:c r="A149" s="3" t="str">
        <x:v>罗一可</x:v>
      </x:c>
      <x:c r="B149" s="3" t="str">
        <x:v>xiaohani</x:v>
      </x:c>
      <x:c r="C149" s="3" t="str">
        <x:v>远防</x:v>
      </x:c>
      <x:c r="D149" s="23" t="n">
        <x:v>4</x:v>
      </x:c>
      <x:c r="E149" s="23" t="n">
        <x:v>0</x:v>
      </x:c>
      <x:c r="F149" s="23" t="n">
        <x:v>0</x:v>
      </x:c>
      <x:c r="G149" s="23" t="n">
        <x:v>0</x:v>
      </x:c>
      <x:c r="H149" s="23" t="n">
        <x:v>0</x:v>
      </x:c>
      <x:c r="I149" s="23" t="n">
        <x:v>1</x:v>
      </x:c>
      <x:c r="J149" s="19" t="n">
        <x:f>IF(I149=1,G149,H149)</x:f>
        <x:v>0</x:v>
      </x:c>
      <x:c r="K149" s="19" t="n">
        <x:v>3</x:v>
      </x:c>
      <x:c r="L149" s="19" t="n">
        <x:f>K149+E149*0.5</x:f>
        <x:v>3</x:v>
      </x:c>
      <x:c r="M149" s="19" t="n">
        <x:f>D149+J149+F149*L149</x:f>
        <x:v>4</x:v>
      </x:c>
    </x:row>
    <x:row r="150" ht="25" customHeight="1">
      <x:c r="A150" s="10" t="str">
        <x:v>可可</x:v>
      </x:c>
      <x:c r="B150" s="10" t="str">
        <x:v>keke</x:v>
      </x:c>
      <x:c r="C150" s="10" t="str">
        <x:v>生命</x:v>
      </x:c>
      <x:c r="D150" s="23" t="n">
        <x:v>57</x:v>
      </x:c>
      <x:c r="E150" s="23" t="n">
        <x:v>0</x:v>
      </x:c>
      <x:c r="F150" s="23" t="n">
        <x:v>8</x:v>
      </x:c>
      <x:c r="G150" s="23" t="n">
        <x:v>0</x:v>
      </x:c>
      <x:c r="H150" s="23" t="n">
        <x:v>3</x:v>
      </x:c>
      <x:c r="I150" s="23" t="n">
        <x:v>1</x:v>
      </x:c>
      <x:c r="J150" s="19" t="n">
        <x:f>IF(I150=1,G150,H150)</x:f>
        <x:v>0</x:v>
      </x:c>
      <x:c r="K150" s="19" t="n">
        <x:v>3</x:v>
      </x:c>
      <x:c r="L150" s="19" t="n">
        <x:f>K150+E150*0.5</x:f>
        <x:v>3</x:v>
      </x:c>
      <x:c r="M150" s="19" t="n">
        <x:f>D150+J150+F150*L150</x:f>
        <x:v>81</x:v>
      </x:c>
    </x:row>
    <x:row r="151" ht="25" customHeight="1">
      <x:c r="A151" s="3" t="str">
        <x:v>可可</x:v>
      </x:c>
      <x:c r="B151" s="3" t="str">
        <x:v>keke</x:v>
      </x:c>
      <x:c r="C151" s="3" t="str">
        <x:v>疲劳上限</x:v>
      </x:c>
      <x:c r="D151" s="23" t="n">
        <x:v>104</x:v>
      </x:c>
      <x:c r="E151" s="23" t="n">
        <x:v>1</x:v>
      </x:c>
      <x:c r="F151" s="23" t="n">
        <x:v>5</x:v>
      </x:c>
      <x:c r="G151" s="23" t="n">
        <x:v>0</x:v>
      </x:c>
      <x:c r="H151" s="23" t="n">
        <x:v>0</x:v>
      </x:c>
      <x:c r="I151" s="23" t="n">
        <x:v>1</x:v>
      </x:c>
      <x:c r="J151" s="19" t="n">
        <x:f>IF(I151=1,G151,H151)</x:f>
        <x:v>0</x:v>
      </x:c>
      <x:c r="K151" s="19" t="n">
        <x:v>3</x:v>
      </x:c>
      <x:c r="L151" s="19" t="n">
        <x:f>K151+E151*0.5</x:f>
        <x:v>3.5</x:v>
      </x:c>
      <x:c r="M151" s="19" t="n">
        <x:f>D151+J151+F151*L151</x:f>
        <x:v>121.5</x:v>
      </x:c>
    </x:row>
    <x:row r="152" ht="25" customHeight="1">
      <x:c r="A152" s="10" t="str">
        <x:v>可可</x:v>
      </x:c>
      <x:c r="B152" s="10" t="str">
        <x:v>keke</x:v>
      </x:c>
      <x:c r="C152" s="10" t="str">
        <x:v>决心</x:v>
      </x:c>
      <x:c r="D152" s="23" t="n">
        <x:v>52</x:v>
      </x:c>
      <x:c r="E152" s="23" t="n">
        <x:v>2</x:v>
      </x:c>
      <x:c r="F152" s="23" t="n">
        <x:v>7</x:v>
      </x:c>
      <x:c r="G152" s="23" t="n">
        <x:v>2</x:v>
      </x:c>
      <x:c r="H152" s="23" t="n">
        <x:v>0</x:v>
      </x:c>
      <x:c r="I152" s="23" t="n">
        <x:v>1</x:v>
      </x:c>
      <x:c r="J152" s="19" t="n">
        <x:f>IF(I152=1,G152,H152)</x:f>
        <x:v>2</x:v>
      </x:c>
      <x:c r="K152" s="19" t="n">
        <x:v>3</x:v>
      </x:c>
      <x:c r="L152" s="19" t="n">
        <x:f>K152+E152*0.5</x:f>
        <x:v>4</x:v>
      </x:c>
      <x:c r="M152" s="19" t="n">
        <x:f>D152+J152+F152*L152</x:f>
        <x:v>82</x:v>
      </x:c>
    </x:row>
    <x:row r="153" ht="25" customHeight="1">
      <x:c r="A153" s="3" t="str">
        <x:v>可可</x:v>
      </x:c>
      <x:c r="B153" s="3" t="str">
        <x:v>keke</x:v>
      </x:c>
      <x:c r="C153" s="3" t="str">
        <x:v>先攻</x:v>
      </x:c>
      <x:c r="D153" s="23" t="n">
        <x:v>100</x:v>
      </x:c>
      <x:c r="E153" s="23" t="n">
        <x:v>0</x:v>
      </x:c>
      <x:c r="F153" s="23" t="n">
        <x:v>0</x:v>
      </x:c>
      <x:c r="G153" s="23" t="n">
        <x:v>0</x:v>
      </x:c>
      <x:c r="H153" s="23" t="n">
        <x:v>0</x:v>
      </x:c>
      <x:c r="I153" s="23" t="n">
        <x:v>1</x:v>
      </x:c>
      <x:c r="J153" s="19" t="n">
        <x:f>IF(I153=1,G153,H153)</x:f>
        <x:v>0</x:v>
      </x:c>
      <x:c r="K153" s="19" t="n">
        <x:v>4</x:v>
      </x:c>
      <x:c r="L153" s="19" t="n">
        <x:f>K153+E153*0.5</x:f>
        <x:v>4</x:v>
      </x:c>
      <x:c r="M153" s="19" t="n">
        <x:f>D153+J153+F153*L153</x:f>
        <x:v>100</x:v>
      </x:c>
    </x:row>
    <x:row r="154" ht="25" customHeight="1">
      <x:c r="A154" s="10" t="str">
        <x:v>可可</x:v>
      </x:c>
      <x:c r="B154" s="10" t="str">
        <x:v>keke</x:v>
      </x:c>
      <x:c r="C154" s="10" t="str">
        <x:v>近攻</x:v>
      </x:c>
      <x:c r="D154" s="23" t="n">
        <x:v>51</x:v>
      </x:c>
      <x:c r="E154" s="23" t="n">
        <x:v>0</x:v>
      </x:c>
      <x:c r="F154" s="23" t="n">
        <x:v>0</x:v>
      </x:c>
      <x:c r="G154" s="23" t="n">
        <x:v>0</x:v>
      </x:c>
      <x:c r="H154" s="23" t="n">
        <x:v>0</x:v>
      </x:c>
      <x:c r="I154" s="23" t="n">
        <x:v>1</x:v>
      </x:c>
      <x:c r="J154" s="19" t="n">
        <x:f>IF(I154=1,G154,H154)</x:f>
        <x:v>0</x:v>
      </x:c>
      <x:c r="K154" s="19" t="n">
        <x:v>2</x:v>
      </x:c>
      <x:c r="L154" s="19" t="n">
        <x:f>K154+E154*0.5</x:f>
        <x:v>2</x:v>
      </x:c>
      <x:c r="M154" s="19" t="n">
        <x:f>D154+J154+F154*L154</x:f>
        <x:v>51</x:v>
      </x:c>
    </x:row>
    <x:row r="155" ht="25" customHeight="1">
      <x:c r="A155" s="3" t="str">
        <x:v>可可</x:v>
      </x:c>
      <x:c r="B155" s="3" t="str">
        <x:v>keke</x:v>
      </x:c>
      <x:c r="C155" s="3" t="str">
        <x:v>远攻</x:v>
      </x:c>
      <x:c r="D155" s="23" t="n">
        <x:v>44</x:v>
      </x:c>
      <x:c r="E155" s="23" t="n">
        <x:v>0</x:v>
      </x:c>
      <x:c r="F155" s="23" t="n">
        <x:v>0</x:v>
      </x:c>
      <x:c r="G155" s="23" t="n">
        <x:v>3</x:v>
      </x:c>
      <x:c r="H155" s="23" t="n">
        <x:v>0</x:v>
      </x:c>
      <x:c r="I155" s="23" t="n">
        <x:v>1</x:v>
      </x:c>
      <x:c r="J155" s="19" t="n">
        <x:f>IF(I155=1,G155,H155)</x:f>
        <x:v>3</x:v>
      </x:c>
      <x:c r="K155" s="19" t="n">
        <x:v>3</x:v>
      </x:c>
      <x:c r="L155" s="19" t="n">
        <x:f>K155+E155*0.5</x:f>
        <x:v>3</x:v>
      </x:c>
      <x:c r="M155" s="19" t="n">
        <x:f>D155+J155+F155*L155</x:f>
        <x:v>47</x:v>
      </x:c>
    </x:row>
    <x:row r="156" ht="25" customHeight="1">
      <x:c r="A156" s="10" t="str">
        <x:v>可可</x:v>
      </x:c>
      <x:c r="B156" s="10" t="str">
        <x:v>keke</x:v>
      </x:c>
      <x:c r="C156" s="10" t="str">
        <x:v>近防</x:v>
      </x:c>
      <x:c r="D156" s="23" t="n">
        <x:v>6</x:v>
      </x:c>
      <x:c r="E156" s="23" t="n">
        <x:v>3</x:v>
      </x:c>
      <x:c r="F156" s="23" t="n">
        <x:v>10</x:v>
      </x:c>
      <x:c r="G156" s="23" t="n">
        <x:v>0</x:v>
      </x:c>
      <x:c r="H156" s="23" t="n">
        <x:v>3</x:v>
      </x:c>
      <x:c r="I156" s="23" t="n">
        <x:v>1</x:v>
      </x:c>
      <x:c r="J156" s="19" t="n">
        <x:f>IF(I156=1,G156,H156)</x:f>
        <x:v>0</x:v>
      </x:c>
      <x:c r="K156" s="19" t="n">
        <x:v>2</x:v>
      </x:c>
      <x:c r="L156" s="19" t="n">
        <x:f>K156+E156*0.5</x:f>
        <x:v>3.5</x:v>
      </x:c>
      <x:c r="M156" s="19" t="n">
        <x:f>D156+J156+F156*L156</x:f>
        <x:v>41</x:v>
      </x:c>
    </x:row>
    <x:row r="157" ht="25" customHeight="1">
      <x:c r="A157" s="3" t="str">
        <x:v>可可</x:v>
      </x:c>
      <x:c r="B157" s="3" t="str">
        <x:v>keke</x:v>
      </x:c>
      <x:c r="C157" s="3" t="str">
        <x:v>远防</x:v>
      </x:c>
      <x:c r="D157" s="23" t="n">
        <x:v>5</x:v>
      </x:c>
      <x:c r="E157" s="23" t="n">
        <x:v>0</x:v>
      </x:c>
      <x:c r="F157" s="23" t="n">
        <x:v>0</x:v>
      </x:c>
      <x:c r="G157" s="23" t="n">
        <x:v>0</x:v>
      </x:c>
      <x:c r="H157" s="23" t="n">
        <x:v>0</x:v>
      </x:c>
      <x:c r="I157" s="23" t="n">
        <x:v>1</x:v>
      </x:c>
      <x:c r="J157" s="19" t="n">
        <x:f>IF(I157=1,G157,H157)</x:f>
        <x:v>0</x:v>
      </x:c>
      <x:c r="K157" s="19" t="n">
        <x:v>3</x:v>
      </x:c>
      <x:c r="L157" s="19" t="n">
        <x:f>K157+E157*0.5</x:f>
        <x:v>3</x:v>
      </x:c>
      <x:c r="M157" s="19" t="n">
        <x:f>D157+J157+F157*L157</x:f>
        <x:v>5</x:v>
      </x:c>
    </x:row>
    <x:row r="158" ht="25" customHeight="1">
      <x:c r="A158" s="10" t="str">
        <x:v>余想</x:v>
      </x:c>
      <x:c r="B158" s="10" t="str">
        <x:v>yuxiang</x:v>
      </x:c>
      <x:c r="C158" s="10" t="str">
        <x:v>生命</x:v>
      </x:c>
      <x:c r="D158" s="23" t="n">
        <x:v>62</x:v>
      </x:c>
      <x:c r="E158" s="23" t="n">
        <x:v>0</x:v>
      </x:c>
      <x:c r="F158" s="23" t="n">
        <x:v>8</x:v>
      </x:c>
      <x:c r="G158" s="23" t="n">
        <x:v>0</x:v>
      </x:c>
      <x:c r="H158" s="23" t="n">
        <x:v>3</x:v>
      </x:c>
      <x:c r="I158" s="23" t="n">
        <x:v>1</x:v>
      </x:c>
      <x:c r="J158" s="19" t="n">
        <x:f>IF(I158=1,G158,H158)</x:f>
        <x:v>0</x:v>
      </x:c>
      <x:c r="K158" s="19" t="n">
        <x:v>3</x:v>
      </x:c>
      <x:c r="L158" s="19" t="n">
        <x:f>K158+E158*0.5</x:f>
        <x:v>3</x:v>
      </x:c>
      <x:c r="M158" s="19" t="n">
        <x:f>D158+J158+F158*L158</x:f>
        <x:v>86</x:v>
      </x:c>
    </x:row>
    <x:row r="159" ht="25" customHeight="1">
      <x:c r="A159" s="3" t="str">
        <x:v>余想</x:v>
      </x:c>
      <x:c r="B159" s="3" t="str">
        <x:v>yuxiang</x:v>
      </x:c>
      <x:c r="C159" s="3" t="str">
        <x:v>疲劳上限</x:v>
      </x:c>
      <x:c r="D159" s="23" t="n">
        <x:v>108</x:v>
      </x:c>
      <x:c r="E159" s="23" t="n">
        <x:v>1</x:v>
      </x:c>
      <x:c r="F159" s="23" t="n">
        <x:v>4</x:v>
      </x:c>
      <x:c r="G159" s="23" t="n">
        <x:v>5</x:v>
      </x:c>
      <x:c r="H159" s="23" t="n">
        <x:v>0</x:v>
      </x:c>
      <x:c r="I159" s="23" t="n">
        <x:v>1</x:v>
      </x:c>
      <x:c r="J159" s="19" t="n">
        <x:f>IF(I159=1,G159,H159)</x:f>
        <x:v>5</x:v>
      </x:c>
      <x:c r="K159" s="19" t="n">
        <x:v>3</x:v>
      </x:c>
      <x:c r="L159" s="19" t="n">
        <x:f>K159+E159*0.5</x:f>
        <x:v>3.5</x:v>
      </x:c>
      <x:c r="M159" s="19" t="n">
        <x:f>D159+J159+F159*L159</x:f>
        <x:v>127</x:v>
      </x:c>
    </x:row>
    <x:row r="160" ht="25" customHeight="1">
      <x:c r="A160" s="10" t="str">
        <x:v>余想</x:v>
      </x:c>
      <x:c r="B160" s="10" t="str">
        <x:v>yuxiang</x:v>
      </x:c>
      <x:c r="C160" s="10" t="str">
        <x:v>决心</x:v>
      </x:c>
      <x:c r="D160" s="23" t="n">
        <x:v>46</x:v>
      </x:c>
      <x:c r="E160" s="23" t="n">
        <x:v>1</x:v>
      </x:c>
      <x:c r="F160" s="23" t="n">
        <x:v>6</x:v>
      </x:c>
      <x:c r="G160" s="23" t="n">
        <x:v>0</x:v>
      </x:c>
      <x:c r="H160" s="23" t="n">
        <x:v>4</x:v>
      </x:c>
      <x:c r="I160" s="23" t="n">
        <x:v>1</x:v>
      </x:c>
      <x:c r="J160" s="19" t="n">
        <x:f>IF(I160=1,G160,H160)</x:f>
        <x:v>0</x:v>
      </x:c>
      <x:c r="K160" s="19" t="n">
        <x:v>3</x:v>
      </x:c>
      <x:c r="L160" s="19" t="n">
        <x:f>K160+E160*0.5</x:f>
        <x:v>3.5</x:v>
      </x:c>
      <x:c r="M160" s="19" t="n">
        <x:f>D160+J160+F160*L160</x:f>
        <x:v>67</x:v>
      </x:c>
    </x:row>
    <x:row r="161" ht="25" customHeight="1">
      <x:c r="A161" s="3" t="str">
        <x:v>余想</x:v>
      </x:c>
      <x:c r="B161" s="3" t="str">
        <x:v>yuxiang</x:v>
      </x:c>
      <x:c r="C161" s="3" t="str">
        <x:v>先攻</x:v>
      </x:c>
      <x:c r="D161" s="23" t="n">
        <x:v>94</x:v>
      </x:c>
      <x:c r="E161" s="23" t="n">
        <x:v>0</x:v>
      </x:c>
      <x:c r="F161" s="23" t="n">
        <x:v>0</x:v>
      </x:c>
      <x:c r="G161" s="23" t="n">
        <x:v>0</x:v>
      </x:c>
      <x:c r="H161" s="23" t="n">
        <x:v>0</x:v>
      </x:c>
      <x:c r="I161" s="23" t="n">
        <x:v>1</x:v>
      </x:c>
      <x:c r="J161" s="19" t="n">
        <x:f>IF(I161=1,G161,H161)</x:f>
        <x:v>0</x:v>
      </x:c>
      <x:c r="K161" s="19" t="n">
        <x:v>4</x:v>
      </x:c>
      <x:c r="L161" s="19" t="n">
        <x:f>K161+E161*0.5</x:f>
        <x:v>4</x:v>
      </x:c>
      <x:c r="M161" s="19" t="n">
        <x:f>D161+J161+F161*L161</x:f>
        <x:v>94</x:v>
      </x:c>
    </x:row>
    <x:row r="162" ht="25" customHeight="1">
      <x:c r="A162" s="10" t="str">
        <x:v>余想</x:v>
      </x:c>
      <x:c r="B162" s="10" t="str">
        <x:v>yuxiang</x:v>
      </x:c>
      <x:c r="C162" s="10" t="str">
        <x:v>近攻</x:v>
      </x:c>
      <x:c r="D162" s="23" t="n">
        <x:v>59</x:v>
      </x:c>
      <x:c r="E162" s="23" t="n">
        <x:v>2</x:v>
      </x:c>
      <x:c r="F162" s="23" t="n">
        <x:v>10</x:v>
      </x:c>
      <x:c r="G162" s="23" t="n">
        <x:v>0</x:v>
      </x:c>
      <x:c r="H162" s="23" t="n">
        <x:v>0</x:v>
      </x:c>
      <x:c r="I162" s="23" t="n">
        <x:v>1</x:v>
      </x:c>
      <x:c r="J162" s="19" t="n">
        <x:f>IF(I162=1,G162,H162)</x:f>
        <x:v>0</x:v>
      </x:c>
      <x:c r="K162" s="19" t="n">
        <x:v>2</x:v>
      </x:c>
      <x:c r="L162" s="19" t="n">
        <x:f>K162+E162*0.5</x:f>
        <x:v>3</x:v>
      </x:c>
      <x:c r="M162" s="19" t="n">
        <x:f>D162+J162+F162*L162</x:f>
        <x:v>89</x:v>
      </x:c>
    </x:row>
    <x:row r="163" ht="25" customHeight="1">
      <x:c r="A163" s="3" t="str">
        <x:v>余想</x:v>
      </x:c>
      <x:c r="B163" s="3" t="str">
        <x:v>yuxiang</x:v>
      </x:c>
      <x:c r="C163" s="3" t="str">
        <x:v>远攻</x:v>
      </x:c>
      <x:c r="D163" s="23" t="n">
        <x:v>31</x:v>
      </x:c>
      <x:c r="E163" s="23" t="n">
        <x:v>0</x:v>
      </x:c>
      <x:c r="F163" s="23" t="n">
        <x:v>0</x:v>
      </x:c>
      <x:c r="G163" s="23" t="n">
        <x:v>0</x:v>
      </x:c>
      <x:c r="H163" s="23" t="n">
        <x:v>0</x:v>
      </x:c>
      <x:c r="I163" s="23" t="n">
        <x:v>1</x:v>
      </x:c>
      <x:c r="J163" s="19" t="n">
        <x:f>IF(I163=1,G163,H163)</x:f>
        <x:v>0</x:v>
      </x:c>
      <x:c r="K163" s="19" t="n">
        <x:v>3</x:v>
      </x:c>
      <x:c r="L163" s="19" t="n">
        <x:f>K163+E163*0.5</x:f>
        <x:v>3</x:v>
      </x:c>
      <x:c r="M163" s="19" t="n">
        <x:f>D163+J163+F163*L163</x:f>
        <x:v>31</x:v>
      </x:c>
    </x:row>
    <x:row r="164" ht="25" customHeight="1">
      <x:c r="A164" s="10" t="str">
        <x:v>余想</x:v>
      </x:c>
      <x:c r="B164" s="10" t="str">
        <x:v>yuxiang</x:v>
      </x:c>
      <x:c r="C164" s="10" t="str">
        <x:v>近防</x:v>
      </x:c>
      <x:c r="D164" s="23" t="n">
        <x:v>5</x:v>
      </x:c>
      <x:c r="E164" s="23" t="n">
        <x:v>0</x:v>
      </x:c>
      <x:c r="F164" s="23" t="n">
        <x:v>2</x:v>
      </x:c>
      <x:c r="G164" s="23" t="n">
        <x:v>2</x:v>
      </x:c>
      <x:c r="H164" s="23" t="n">
        <x:v>0</x:v>
      </x:c>
      <x:c r="I164" s="23" t="n">
        <x:v>1</x:v>
      </x:c>
      <x:c r="J164" s="19" t="n">
        <x:f>IF(I164=1,G164,H164)</x:f>
        <x:v>2</x:v>
      </x:c>
      <x:c r="K164" s="19" t="n">
        <x:v>2</x:v>
      </x:c>
      <x:c r="L164" s="19" t="n">
        <x:f>K164+E164*0.5</x:f>
        <x:v>2</x:v>
      </x:c>
      <x:c r="M164" s="19" t="n">
        <x:f>D164+J164+F164*L164</x:f>
        <x:v>11</x:v>
      </x:c>
    </x:row>
    <x:row r="165" ht="25" customHeight="1">
      <x:c r="A165" s="3" t="str">
        <x:v>余想</x:v>
      </x:c>
      <x:c r="B165" s="3" t="str">
        <x:v>yuxiang</x:v>
      </x:c>
      <x:c r="C165" s="3" t="str">
        <x:v>远防</x:v>
      </x:c>
      <x:c r="D165" s="23" t="n">
        <x:v>2</x:v>
      </x:c>
      <x:c r="E165" s="23" t="n">
        <x:v>0</x:v>
      </x:c>
      <x:c r="F165" s="23" t="n">
        <x:v>0</x:v>
      </x:c>
      <x:c r="G165" s="23" t="n">
        <x:v>0</x:v>
      </x:c>
      <x:c r="H165" s="23" t="n">
        <x:v>0</x:v>
      </x:c>
      <x:c r="I165" s="23" t="n">
        <x:v>1</x:v>
      </x:c>
      <x:c r="J165" s="19" t="n">
        <x:f>IF(I165=1,G165,H165)</x:f>
        <x:v>0</x:v>
      </x:c>
      <x:c r="K165" s="19" t="n">
        <x:v>3</x:v>
      </x:c>
      <x:c r="L165" s="19" t="n">
        <x:f>K165+E165*0.5</x:f>
        <x:v>3</x:v>
      </x:c>
      <x:c r="M165" s="19" t="n">
        <x:f>D165+J165+F165*L165</x:f>
        <x:v>2</x:v>
      </x:c>
    </x:row>
    <x:row r="166" ht="25" customHeight="1">
      <x:c r="A166" s="10" t="str">
        <x:v>童猪</x:v>
      </x:c>
      <x:c r="B166" s="10" t="str">
        <x:v>tongzhu</x:v>
      </x:c>
      <x:c r="C166" s="10" t="str">
        <x:v>生命</x:v>
      </x:c>
      <x:c r="D166" s="23" t="n">
        <x:v>60</x:v>
      </x:c>
      <x:c r="E166" s="23" t="n">
        <x:v>1</x:v>
      </x:c>
      <x:c r="F166" s="23" t="n">
        <x:v>8</x:v>
      </x:c>
      <x:c r="G166" s="23" t="n">
        <x:v>3</x:v>
      </x:c>
      <x:c r="H166" s="23" t="n">
        <x:v>0</x:v>
      </x:c>
      <x:c r="I166" s="23" t="n">
        <x:v>1</x:v>
      </x:c>
      <x:c r="J166" s="19" t="n">
        <x:f>IF(I166=1,G166,H166)</x:f>
        <x:v>3</x:v>
      </x:c>
      <x:c r="K166" s="19" t="n">
        <x:v>3</x:v>
      </x:c>
      <x:c r="L166" s="19" t="n">
        <x:f>K166+E166*0.5</x:f>
        <x:v>3.5</x:v>
      </x:c>
      <x:c r="M166" s="19" t="n">
        <x:f>D166+J166+F166*L166</x:f>
        <x:v>91</x:v>
      </x:c>
    </x:row>
    <x:row r="167" ht="25" customHeight="1">
      <x:c r="A167" s="3" t="str">
        <x:v>童猪</x:v>
      </x:c>
      <x:c r="B167" s="3" t="str">
        <x:v>tongzhu</x:v>
      </x:c>
      <x:c r="C167" s="3" t="str">
        <x:v>疲劳上限</x:v>
      </x:c>
      <x:c r="D167" s="23" t="n">
        <x:v>98</x:v>
      </x:c>
      <x:c r="E167" s="23" t="n">
        <x:v>0</x:v>
      </x:c>
      <x:c r="F167" s="23" t="n">
        <x:v>4</x:v>
      </x:c>
      <x:c r="G167" s="23" t="n">
        <x:v>0</x:v>
      </x:c>
      <x:c r="H167" s="23" t="n">
        <x:v>0</x:v>
      </x:c>
      <x:c r="I167" s="23" t="n">
        <x:v>1</x:v>
      </x:c>
      <x:c r="J167" s="19" t="n">
        <x:f>IF(I167=1,G167,H167)</x:f>
        <x:v>0</x:v>
      </x:c>
      <x:c r="K167" s="19" t="n">
        <x:v>3</x:v>
      </x:c>
      <x:c r="L167" s="19" t="n">
        <x:f>K167+E167*0.5</x:f>
        <x:v>3</x:v>
      </x:c>
      <x:c r="M167" s="19" t="n">
        <x:f>D167+J167+F167*L167</x:f>
        <x:v>110</x:v>
      </x:c>
    </x:row>
    <x:row r="168" ht="25" customHeight="1">
      <x:c r="A168" s="10" t="str">
        <x:v>童猪</x:v>
      </x:c>
      <x:c r="B168" s="10" t="str">
        <x:v>tongzhu</x:v>
      </x:c>
      <x:c r="C168" s="10" t="str">
        <x:v>决心</x:v>
      </x:c>
      <x:c r="D168" s="23" t="n">
        <x:v>54</x:v>
      </x:c>
      <x:c r="E168" s="23" t="n">
        <x:v>2</x:v>
      </x:c>
      <x:c r="F168" s="23" t="n">
        <x:v>10</x:v>
      </x:c>
      <x:c r="G168" s="23" t="n">
        <x:v>4</x:v>
      </x:c>
      <x:c r="H168" s="23" t="n">
        <x:v>0</x:v>
      </x:c>
      <x:c r="I168" s="23" t="n">
        <x:v>1</x:v>
      </x:c>
      <x:c r="J168" s="19" t="n">
        <x:f>IF(I168=1,G168,H168)</x:f>
        <x:v>4</x:v>
      </x:c>
      <x:c r="K168" s="19" t="n">
        <x:v>3</x:v>
      </x:c>
      <x:c r="L168" s="19" t="n">
        <x:f>K168+E168*0.5</x:f>
        <x:v>4</x:v>
      </x:c>
      <x:c r="M168" s="19" t="n">
        <x:f>D168+J168+F168*L168</x:f>
        <x:v>98</x:v>
      </x:c>
    </x:row>
    <x:row r="169" ht="25" customHeight="1">
      <x:c r="A169" s="3" t="str">
        <x:v>童猪</x:v>
      </x:c>
      <x:c r="B169" s="3" t="str">
        <x:v>tongzhu</x:v>
      </x:c>
      <x:c r="C169" s="3" t="str">
        <x:v>先攻</x:v>
      </x:c>
      <x:c r="D169" s="23" t="n">
        <x:v>102</x:v>
      </x:c>
      <x:c r="E169" s="23" t="n">
        <x:v>0</x:v>
      </x:c>
      <x:c r="F169" s="23" t="n">
        <x:v>0</x:v>
      </x:c>
      <x:c r="G169" s="23" t="n">
        <x:v>0</x:v>
      </x:c>
      <x:c r="H169" s="23" t="n">
        <x:v>4</x:v>
      </x:c>
      <x:c r="I169" s="23" t="n">
        <x:v>1</x:v>
      </x:c>
      <x:c r="J169" s="19" t="n">
        <x:f>IF(I169=1,G169,H169)</x:f>
        <x:v>0</x:v>
      </x:c>
      <x:c r="K169" s="19" t="n">
        <x:v>4</x:v>
      </x:c>
      <x:c r="L169" s="19" t="n">
        <x:f>K169+E169*0.5</x:f>
        <x:v>4</x:v>
      </x:c>
      <x:c r="M169" s="19" t="n">
        <x:f>D169+J169+F169*L169</x:f>
        <x:v>102</x:v>
      </x:c>
    </x:row>
    <x:row r="170" ht="25" customHeight="1">
      <x:c r="A170" s="10" t="str">
        <x:v>童猪</x:v>
      </x:c>
      <x:c r="B170" s="10" t="str">
        <x:v>tongzhu</x:v>
      </x:c>
      <x:c r="C170" s="10" t="str">
        <x:v>近攻</x:v>
      </x:c>
      <x:c r="D170" s="23" t="n">
        <x:v>53</x:v>
      </x:c>
      <x:c r="E170" s="23" t="n">
        <x:v>1</x:v>
      </x:c>
      <x:c r="F170" s="23" t="n">
        <x:v>8</x:v>
      </x:c>
      <x:c r="G170" s="23" t="n">
        <x:v>0</x:v>
      </x:c>
      <x:c r="H170" s="23" t="n">
        <x:v>0</x:v>
      </x:c>
      <x:c r="I170" s="23" t="n">
        <x:v>1</x:v>
      </x:c>
      <x:c r="J170" s="19" t="n">
        <x:f>IF(I170=1,G170,H170)</x:f>
        <x:v>0</x:v>
      </x:c>
      <x:c r="K170" s="19" t="n">
        <x:v>2</x:v>
      </x:c>
      <x:c r="L170" s="19" t="n">
        <x:f>K170+E170*0.5</x:f>
        <x:v>2.5</x:v>
      </x:c>
      <x:c r="M170" s="19" t="n">
        <x:f>D170+J170+F170*L170</x:f>
        <x:v>73</x:v>
      </x:c>
    </x:row>
    <x:row r="171" ht="25" customHeight="1">
      <x:c r="A171" s="3" t="str">
        <x:v>童猪</x:v>
      </x:c>
      <x:c r="B171" s="3" t="str">
        <x:v>tongzhu</x:v>
      </x:c>
      <x:c r="C171" s="3" t="str">
        <x:v>远攻</x:v>
      </x:c>
      <x:c r="D171" s="23" t="n">
        <x:v>35</x:v>
      </x:c>
      <x:c r="E171" s="23" t="n">
        <x:v>0</x:v>
      </x:c>
      <x:c r="F171" s="23" t="n">
        <x:v>0</x:v>
      </x:c>
      <x:c r="G171" s="23" t="n">
        <x:v>0</x:v>
      </x:c>
      <x:c r="H171" s="23" t="n">
        <x:v>0</x:v>
      </x:c>
      <x:c r="I171" s="23" t="n">
        <x:v>1</x:v>
      </x:c>
      <x:c r="J171" s="19" t="n">
        <x:f>IF(I171=1,G171,H171)</x:f>
        <x:v>0</x:v>
      </x:c>
      <x:c r="K171" s="19" t="n">
        <x:v>3</x:v>
      </x:c>
      <x:c r="L171" s="19" t="n">
        <x:f>K171+E171*0.5</x:f>
        <x:v>3</x:v>
      </x:c>
      <x:c r="M171" s="19" t="n">
        <x:f>D171+J171+F171*L171</x:f>
        <x:v>35</x:v>
      </x:c>
    </x:row>
    <x:row r="172" ht="25" customHeight="1">
      <x:c r="A172" s="10" t="str">
        <x:v>童猪</x:v>
      </x:c>
      <x:c r="B172" s="10" t="str">
        <x:v>tongzhu</x:v>
      </x:c>
      <x:c r="C172" s="10" t="str">
        <x:v>近防</x:v>
      </x:c>
      <x:c r="D172" s="23" t="n">
        <x:v>4</x:v>
      </x:c>
      <x:c r="E172" s="23" t="n">
        <x:v>0</x:v>
      </x:c>
      <x:c r="F172" s="23" t="n">
        <x:v>0</x:v>
      </x:c>
      <x:c r="G172" s="23" t="n">
        <x:v>0</x:v>
      </x:c>
      <x:c r="H172" s="23" t="n">
        <x:v>2</x:v>
      </x:c>
      <x:c r="I172" s="23" t="n">
        <x:v>1</x:v>
      </x:c>
      <x:c r="J172" s="19" t="n">
        <x:f>IF(I172=1,G172,H172)</x:f>
        <x:v>0</x:v>
      </x:c>
      <x:c r="K172" s="19" t="n">
        <x:v>2</x:v>
      </x:c>
      <x:c r="L172" s="19" t="n">
        <x:f>K172+E172*0.5</x:f>
        <x:v>2</x:v>
      </x:c>
      <x:c r="M172" s="19" t="n">
        <x:f>D172+J172+F172*L172</x:f>
        <x:v>4</x:v>
      </x:c>
    </x:row>
    <x:row r="173" ht="25" customHeight="1">
      <x:c r="A173" s="3" t="str">
        <x:v>童猪</x:v>
      </x:c>
      <x:c r="B173" s="3" t="str">
        <x:v>tongzhu</x:v>
      </x:c>
      <x:c r="C173" s="3" t="str">
        <x:v>远防</x:v>
      </x:c>
      <x:c r="D173" s="23" t="n">
        <x:v>3</x:v>
      </x:c>
      <x:c r="E173" s="23" t="n">
        <x:v>0</x:v>
      </x:c>
      <x:c r="F173" s="23" t="n">
        <x:v>0</x:v>
      </x:c>
      <x:c r="G173" s="23" t="n">
        <x:v>0</x:v>
      </x:c>
      <x:c r="H173" s="23" t="n">
        <x:v>0</x:v>
      </x:c>
      <x:c r="I173" s="23" t="n">
        <x:v>1</x:v>
      </x:c>
      <x:c r="J173" s="19" t="n">
        <x:f>IF(I173=1,G173,H173)</x:f>
        <x:v>0</x:v>
      </x:c>
      <x:c r="K173" s="19" t="n">
        <x:v>3</x:v>
      </x:c>
      <x:c r="L173" s="19" t="n">
        <x:f>K173+E173*0.5</x:f>
        <x:v>3</x:v>
      </x:c>
      <x:c r="M173" s="19" t="n">
        <x:f>D173+J173+F173*L173</x:f>
        <x:v>3</x:v>
      </x:c>
    </x:row>
    <x:row r="174" ht="25" customHeight="1">
      <x:c r="A174" s="10" t="str">
        <x:v>美伢</x:v>
      </x:c>
      <x:c r="B174" s="10" t="str">
        <x:v>meiya</x:v>
      </x:c>
      <x:c r="C174" s="10" t="str">
        <x:v>生命</x:v>
      </x:c>
      <x:c r="D174" s="23" t="n">
        <x:v>58</x:v>
      </x:c>
      <x:c r="E174" s="23" t="n">
        <x:v>0</x:v>
      </x:c>
      <x:c r="F174" s="23" t="n">
        <x:v>5</x:v>
      </x:c>
      <x:c r="G174" s="23" t="n">
        <x:v>0</x:v>
      </x:c>
      <x:c r="H174" s="23" t="n">
        <x:v>0</x:v>
      </x:c>
      <x:c r="I174" s="23" t="n">
        <x:v>1</x:v>
      </x:c>
      <x:c r="J174" s="19" t="n">
        <x:f>IF(I174=1,G174,H174)</x:f>
        <x:v>0</x:v>
      </x:c>
      <x:c r="K174" s="19" t="n">
        <x:v>3</x:v>
      </x:c>
      <x:c r="L174" s="19" t="n">
        <x:f>K174+E174*0.5</x:f>
        <x:v>3</x:v>
      </x:c>
      <x:c r="M174" s="19" t="n">
        <x:f>D174+J174+F174*L174</x:f>
        <x:v>73</x:v>
      </x:c>
    </x:row>
    <x:row r="175" ht="25" customHeight="1">
      <x:c r="A175" s="3" t="str">
        <x:v>美伢</x:v>
      </x:c>
      <x:c r="B175" s="3" t="str">
        <x:v>meiya</x:v>
      </x:c>
      <x:c r="C175" s="3" t="str">
        <x:v>疲劳上限</x:v>
      </x:c>
      <x:c r="D175" s="23" t="n">
        <x:v>105</x:v>
      </x:c>
      <x:c r="E175" s="23" t="n">
        <x:v>1</x:v>
      </x:c>
      <x:c r="F175" s="23" t="n">
        <x:v>0</x:v>
      </x:c>
      <x:c r="G175" s="23" t="n">
        <x:v>0</x:v>
      </x:c>
      <x:c r="H175" s="23" t="n">
        <x:v>5</x:v>
      </x:c>
      <x:c r="I175" s="23" t="n">
        <x:v>1</x:v>
      </x:c>
      <x:c r="J175" s="19" t="n">
        <x:f>IF(I175=1,G175,H175)</x:f>
        <x:v>0</x:v>
      </x:c>
      <x:c r="K175" s="19" t="n">
        <x:v>3</x:v>
      </x:c>
      <x:c r="L175" s="19" t="n">
        <x:f>K175+E175*0.5</x:f>
        <x:v>3.5</x:v>
      </x:c>
      <x:c r="M175" s="19" t="n">
        <x:f>D175+J175+F175*L175</x:f>
        <x:v>105</x:v>
      </x:c>
    </x:row>
    <x:row r="176" ht="25" customHeight="1">
      <x:c r="A176" s="10" t="str">
        <x:v>美伢</x:v>
      </x:c>
      <x:c r="B176" s="10" t="str">
        <x:v>meiya</x:v>
      </x:c>
      <x:c r="C176" s="10" t="str">
        <x:v>决心</x:v>
      </x:c>
      <x:c r="D176" s="23" t="n">
        <x:v>43</x:v>
      </x:c>
      <x:c r="E176" s="23" t="n">
        <x:v>0</x:v>
      </x:c>
      <x:c r="F176" s="23" t="n">
        <x:v>3</x:v>
      </x:c>
      <x:c r="G176" s="23" t="n">
        <x:v>0</x:v>
      </x:c>
      <x:c r="H176" s="23" t="n">
        <x:v>0</x:v>
      </x:c>
      <x:c r="I176" s="23" t="n">
        <x:v>1</x:v>
      </x:c>
      <x:c r="J176" s="19" t="n">
        <x:f>IF(I176=1,G176,H176)</x:f>
        <x:v>0</x:v>
      </x:c>
      <x:c r="K176" s="19" t="n">
        <x:v>3</x:v>
      </x:c>
      <x:c r="L176" s="19" t="n">
        <x:f>K176+E176*0.5</x:f>
        <x:v>3</x:v>
      </x:c>
      <x:c r="M176" s="19" t="n">
        <x:f>D176+J176+F176*L176</x:f>
        <x:v>52</x:v>
      </x:c>
    </x:row>
    <x:row r="177" ht="25" customHeight="1">
      <x:c r="A177" s="3" t="str">
        <x:v>美伢</x:v>
      </x:c>
      <x:c r="B177" s="3" t="str">
        <x:v>meiya</x:v>
      </x:c>
      <x:c r="C177" s="3" t="str">
        <x:v>先攻</x:v>
      </x:c>
      <x:c r="D177" s="23" t="n">
        <x:v>119</x:v>
      </x:c>
      <x:c r="E177" s="23" t="n">
        <x:v>2</x:v>
      </x:c>
      <x:c r="F177" s="23" t="n">
        <x:v>2</x:v>
      </x:c>
      <x:c r="G177" s="23" t="n">
        <x:v>4</x:v>
      </x:c>
      <x:c r="H177" s="23" t="n">
        <x:v>0</x:v>
      </x:c>
      <x:c r="I177" s="23" t="n">
        <x:v>1</x:v>
      </x:c>
      <x:c r="J177" s="19" t="n">
        <x:f>IF(I177=1,G177,H177)</x:f>
        <x:v>4</x:v>
      </x:c>
      <x:c r="K177" s="19" t="n">
        <x:v>4</x:v>
      </x:c>
      <x:c r="L177" s="19" t="n">
        <x:f>K177+E177*0.5</x:f>
        <x:v>5</x:v>
      </x:c>
      <x:c r="M177" s="19" t="n">
        <x:f>D177+J177+F177*L177</x:f>
        <x:v>133</x:v>
      </x:c>
    </x:row>
    <x:row r="178" ht="25" customHeight="1">
      <x:c r="A178" s="10" t="str">
        <x:v>美伢</x:v>
      </x:c>
      <x:c r="B178" s="10" t="str">
        <x:v>meiya</x:v>
      </x:c>
      <x:c r="C178" s="10" t="str">
        <x:v>近攻</x:v>
      </x:c>
      <x:c r="D178" s="23" t="n">
        <x:v>59</x:v>
      </x:c>
      <x:c r="E178" s="23" t="n">
        <x:v>1</x:v>
      </x:c>
      <x:c r="F178" s="23" t="n">
        <x:v>10</x:v>
      </x:c>
      <x:c r="G178" s="23" t="n">
        <x:v>2</x:v>
      </x:c>
      <x:c r="H178" s="23" t="n">
        <x:v>0</x:v>
      </x:c>
      <x:c r="I178" s="23" t="n">
        <x:v>1</x:v>
      </x:c>
      <x:c r="J178" s="19" t="n">
        <x:f>IF(I178=1,G178,H178)</x:f>
        <x:v>2</x:v>
      </x:c>
      <x:c r="K178" s="19" t="n">
        <x:v>2</x:v>
      </x:c>
      <x:c r="L178" s="19" t="n">
        <x:f>K178+E178*0.5</x:f>
        <x:v>2.5</x:v>
      </x:c>
      <x:c r="M178" s="19" t="n">
        <x:f>D178+J178+F178*L178</x:f>
        <x:v>86</x:v>
      </x:c>
    </x:row>
    <x:row r="179" ht="25" customHeight="1">
      <x:c r="A179" s="3" t="str">
        <x:v>美伢</x:v>
      </x:c>
      <x:c r="B179" s="3" t="str">
        <x:v>meiya</x:v>
      </x:c>
      <x:c r="C179" s="3" t="str">
        <x:v>远攻</x:v>
      </x:c>
      <x:c r="D179" s="23" t="n">
        <x:v>33</x:v>
      </x:c>
      <x:c r="E179" s="23" t="n">
        <x:v>0</x:v>
      </x:c>
      <x:c r="F179" s="23" t="n">
        <x:v>0</x:v>
      </x:c>
      <x:c r="G179" s="23" t="n">
        <x:v>0</x:v>
      </x:c>
      <x:c r="H179" s="23" t="n">
        <x:v>0</x:v>
      </x:c>
      <x:c r="I179" s="23" t="n">
        <x:v>1</x:v>
      </x:c>
      <x:c r="J179" s="19" t="n">
        <x:f>IF(I179=1,G179,H179)</x:f>
        <x:v>0</x:v>
      </x:c>
      <x:c r="K179" s="19" t="n">
        <x:v>3</x:v>
      </x:c>
      <x:c r="L179" s="19" t="n">
        <x:f>K179+E179*0.5</x:f>
        <x:v>3</x:v>
      </x:c>
      <x:c r="M179" s="19" t="n">
        <x:f>D179+J179+F179*L179</x:f>
        <x:v>33</x:v>
      </x:c>
    </x:row>
    <x:row r="180" ht="25" customHeight="1">
      <x:c r="A180" s="10" t="str">
        <x:v>美伢</x:v>
      </x:c>
      <x:c r="B180" s="10" t="str">
        <x:v>meiya</x:v>
      </x:c>
      <x:c r="C180" s="10" t="str">
        <x:v>近防</x:v>
      </x:c>
      <x:c r="D180" s="23" t="n">
        <x:v>6</x:v>
      </x:c>
      <x:c r="E180" s="23" t="n">
        <x:v>0</x:v>
      </x:c>
      <x:c r="F180" s="23" t="n">
        <x:v>10</x:v>
      </x:c>
      <x:c r="G180" s="23" t="n">
        <x:v>0</x:v>
      </x:c>
      <x:c r="H180" s="23" t="n">
        <x:v>2</x:v>
      </x:c>
      <x:c r="I180" s="23" t="n">
        <x:v>1</x:v>
      </x:c>
      <x:c r="J180" s="19" t="n">
        <x:f>IF(I180=1,G180,H180)</x:f>
        <x:v>0</x:v>
      </x:c>
      <x:c r="K180" s="19" t="n">
        <x:v>2</x:v>
      </x:c>
      <x:c r="L180" s="19" t="n">
        <x:f>K180+E180*0.5</x:f>
        <x:v>2</x:v>
      </x:c>
      <x:c r="M180" s="19" t="n">
        <x:f>D180+J180+F180*L180</x:f>
        <x:v>26</x:v>
      </x:c>
    </x:row>
    <x:row r="181" ht="25" customHeight="1">
      <x:c r="A181" s="3" t="str">
        <x:v>美伢</x:v>
      </x:c>
      <x:c r="B181" s="3" t="str">
        <x:v>meiya</x:v>
      </x:c>
      <x:c r="C181" s="3" t="str">
        <x:v>远防</x:v>
      </x:c>
      <x:c r="D181" s="23" t="n">
        <x:v>3</x:v>
      </x:c>
      <x:c r="E181" s="23" t="n">
        <x:v>0</x:v>
      </x:c>
      <x:c r="F181" s="23" t="n">
        <x:v>0</x:v>
      </x:c>
      <x:c r="G181" s="23" t="n">
        <x:v>0</x:v>
      </x:c>
      <x:c r="H181" s="23" t="n">
        <x:v>0</x:v>
      </x:c>
      <x:c r="I181" s="23" t="n">
        <x:v>1</x:v>
      </x:c>
      <x:c r="J181" s="19" t="n">
        <x:f>IF(I181=1,G181,H181)</x:f>
        <x:v>0</x:v>
      </x:c>
      <x:c r="K181" s="19" t="n">
        <x:v>3</x:v>
      </x:c>
      <x:c r="L181" s="19" t="n">
        <x:f>K181+E181*0.5</x:f>
        <x:v>3</x:v>
      </x:c>
      <x:c r="M181" s="19" t="n">
        <x:f>D181+J181+F181*L181</x:f>
        <x:v>3</x:v>
      </x:c>
    </x:row>
    <x:row r="182" ht="25" customHeight="1">
      <x:c r="A182" s="10" t="str">
        <x:v>玩蛇</x:v>
      </x:c>
      <x:c r="B182" s="10" t="str">
        <x:v>wanshe</x:v>
      </x:c>
      <x:c r="C182" s="10" t="str">
        <x:v>生命</x:v>
      </x:c>
      <x:c r="D182" s="23" t="n">
        <x:v>57</x:v>
      </x:c>
      <x:c r="E182" s="23" t="n">
        <x:v>0</x:v>
      </x:c>
      <x:c r="F182" s="23" t="n">
        <x:v>6</x:v>
      </x:c>
      <x:c r="G182" s="23" t="n">
        <x:v>0</x:v>
      </x:c>
      <x:c r="H182" s="23" t="n">
        <x:v>0</x:v>
      </x:c>
      <x:c r="I182" s="23" t="n">
        <x:v>1</x:v>
      </x:c>
      <x:c r="J182" s="19" t="n">
        <x:f>IF(I182=1,G182,H182)</x:f>
        <x:v>0</x:v>
      </x:c>
      <x:c r="K182" s="19" t="n">
        <x:v>3</x:v>
      </x:c>
      <x:c r="L182" s="19" t="n">
        <x:f>K182+E182*0.5</x:f>
        <x:v>3</x:v>
      </x:c>
      <x:c r="M182" s="19" t="n">
        <x:f>D182+J182+F182*L182</x:f>
        <x:v>75</x:v>
      </x:c>
    </x:row>
    <x:row r="183" ht="25" customHeight="1">
      <x:c r="A183" s="3" t="str">
        <x:v>玩蛇</x:v>
      </x:c>
      <x:c r="B183" s="3" t="str">
        <x:v>wanshe</x:v>
      </x:c>
      <x:c r="C183" s="3" t="str">
        <x:v>疲劳上限</x:v>
      </x:c>
      <x:c r="D183" s="23" t="n">
        <x:v>100</x:v>
      </x:c>
      <x:c r="E183" s="23" t="n">
        <x:v>0</x:v>
      </x:c>
      <x:c r="F183" s="23" t="n">
        <x:v>0</x:v>
      </x:c>
      <x:c r="G183" s="23" t="n">
        <x:v>0</x:v>
      </x:c>
      <x:c r="H183" s="23" t="n">
        <x:v>2</x:v>
      </x:c>
      <x:c r="I183" s="23" t="n">
        <x:v>1</x:v>
      </x:c>
      <x:c r="J183" s="19" t="n">
        <x:f>IF(I183=1,G183,H183)</x:f>
        <x:v>0</x:v>
      </x:c>
      <x:c r="K183" s="19" t="n">
        <x:v>3</x:v>
      </x:c>
      <x:c r="L183" s="19" t="n">
        <x:f>K183+E183*0.5</x:f>
        <x:v>3</x:v>
      </x:c>
      <x:c r="M183" s="19" t="n">
        <x:f>D183+J183+F183*L183</x:f>
        <x:v>100</x:v>
      </x:c>
    </x:row>
    <x:row r="184" ht="25" customHeight="1">
      <x:c r="A184" s="10" t="str">
        <x:v>玩蛇</x:v>
      </x:c>
      <x:c r="B184" s="10" t="str">
        <x:v>wanshe</x:v>
      </x:c>
      <x:c r="C184" s="10" t="str">
        <x:v>决心</x:v>
      </x:c>
      <x:c r="D184" s="23" t="n">
        <x:v>42</x:v>
      </x:c>
      <x:c r="E184" s="23" t="n">
        <x:v>0</x:v>
      </x:c>
      <x:c r="F184" s="23" t="n">
        <x:v>4</x:v>
      </x:c>
      <x:c r="G184" s="23" t="n">
        <x:v>0</x:v>
      </x:c>
      <x:c r="H184" s="23" t="n">
        <x:v>0</x:v>
      </x:c>
      <x:c r="I184" s="23" t="n">
        <x:v>1</x:v>
      </x:c>
      <x:c r="J184" s="19" t="n">
        <x:f>IF(I184=1,G184,H184)</x:f>
        <x:v>0</x:v>
      </x:c>
      <x:c r="K184" s="19" t="n">
        <x:v>3</x:v>
      </x:c>
      <x:c r="L184" s="19" t="n">
        <x:f>K184+E184*0.5</x:f>
        <x:v>3</x:v>
      </x:c>
      <x:c r="M184" s="19" t="n">
        <x:f>D184+J184+F184*L184</x:f>
        <x:v>54</x:v>
      </x:c>
    </x:row>
    <x:row r="185" ht="25" customHeight="1">
      <x:c r="A185" s="3" t="str">
        <x:v>玩蛇</x:v>
      </x:c>
      <x:c r="B185" s="3" t="str">
        <x:v>wanshe</x:v>
      </x:c>
      <x:c r="C185" s="3" t="str">
        <x:v>先攻</x:v>
      </x:c>
      <x:c r="D185" s="23" t="n">
        <x:v>115</x:v>
      </x:c>
      <x:c r="E185" s="23" t="n">
        <x:v>1</x:v>
      </x:c>
      <x:c r="F185" s="23" t="n">
        <x:v>0</x:v>
      </x:c>
      <x:c r="G185" s="23" t="n">
        <x:v>2</x:v>
      </x:c>
      <x:c r="H185" s="23" t="n">
        <x:v>0</x:v>
      </x:c>
      <x:c r="I185" s="23" t="n">
        <x:v>1</x:v>
      </x:c>
      <x:c r="J185" s="19" t="n">
        <x:f>IF(I185=1,G185,H185)</x:f>
        <x:v>2</x:v>
      </x:c>
      <x:c r="K185" s="19" t="n">
        <x:v>4</x:v>
      </x:c>
      <x:c r="L185" s="19" t="n">
        <x:f>K185+E185*0.5</x:f>
        <x:v>4.5</x:v>
      </x:c>
      <x:c r="M185" s="19" t="n">
        <x:f>D185+J185+F185*L185</x:f>
        <x:v>117</x:v>
      </x:c>
    </x:row>
    <x:row r="186" ht="25" customHeight="1">
      <x:c r="A186" s="10" t="str">
        <x:v>玩蛇</x:v>
      </x:c>
      <x:c r="B186" s="10" t="str">
        <x:v>wanshe</x:v>
      </x:c>
      <x:c r="C186" s="10" t="str">
        <x:v>近攻</x:v>
      </x:c>
      <x:c r="D186" s="23" t="n">
        <x:v>59</x:v>
      </x:c>
      <x:c r="E186" s="23" t="n">
        <x:v>2</x:v>
      </x:c>
      <x:c r="F186" s="23" t="n">
        <x:v>10</x:v>
      </x:c>
      <x:c r="G186" s="23" t="n">
        <x:v>3</x:v>
      </x:c>
      <x:c r="H186" s="23" t="n">
        <x:v>0</x:v>
      </x:c>
      <x:c r="I186" s="23" t="n">
        <x:v>1</x:v>
      </x:c>
      <x:c r="J186" s="19" t="n">
        <x:f>IF(I186=1,G186,H186)</x:f>
        <x:v>3</x:v>
      </x:c>
      <x:c r="K186" s="19" t="n">
        <x:v>2</x:v>
      </x:c>
      <x:c r="L186" s="19" t="n">
        <x:f>K186+E186*0.5</x:f>
        <x:v>3</x:v>
      </x:c>
      <x:c r="M186" s="19" t="n">
        <x:f>D186+J186+F186*L186</x:f>
        <x:v>92</x:v>
      </x:c>
    </x:row>
    <x:row r="187" ht="25" customHeight="1">
      <x:c r="A187" s="3" t="str">
        <x:v>玩蛇</x:v>
      </x:c>
      <x:c r="B187" s="3" t="str">
        <x:v>wanshe</x:v>
      </x:c>
      <x:c r="C187" s="3" t="str">
        <x:v>远攻</x:v>
      </x:c>
      <x:c r="D187" s="23" t="n">
        <x:v>31</x:v>
      </x:c>
      <x:c r="E187" s="23" t="n">
        <x:v>0</x:v>
      </x:c>
      <x:c r="F187" s="23" t="n">
        <x:v>0</x:v>
      </x:c>
      <x:c r="G187" s="23" t="n">
        <x:v>0</x:v>
      </x:c>
      <x:c r="H187" s="23" t="n">
        <x:v>0</x:v>
      </x:c>
      <x:c r="I187" s="23" t="n">
        <x:v>1</x:v>
      </x:c>
      <x:c r="J187" s="19" t="n">
        <x:f>IF(I187=1,G187,H187)</x:f>
        <x:v>0</x:v>
      </x:c>
      <x:c r="K187" s="19" t="n">
        <x:v>3</x:v>
      </x:c>
      <x:c r="L187" s="19" t="n">
        <x:f>K187+E187*0.5</x:f>
        <x:v>3</x:v>
      </x:c>
      <x:c r="M187" s="19" t="n">
        <x:f>D187+J187+F187*L187</x:f>
        <x:v>31</x:v>
      </x:c>
    </x:row>
    <x:row r="188" ht="25" customHeight="1">
      <x:c r="A188" s="10" t="str">
        <x:v>玩蛇</x:v>
      </x:c>
      <x:c r="B188" s="10" t="str">
        <x:v>wanshe</x:v>
      </x:c>
      <x:c r="C188" s="10" t="str">
        <x:v>近防</x:v>
      </x:c>
      <x:c r="D188" s="23" t="n">
        <x:v>5</x:v>
      </x:c>
      <x:c r="E188" s="23" t="n">
        <x:v>1</x:v>
      </x:c>
      <x:c r="F188" s="23" t="n">
        <x:v>10</x:v>
      </x:c>
      <x:c r="G188" s="23" t="n">
        <x:v>0</x:v>
      </x:c>
      <x:c r="H188" s="23" t="n">
        <x:v>3</x:v>
      </x:c>
      <x:c r="I188" s="23" t="n">
        <x:v>1</x:v>
      </x:c>
      <x:c r="J188" s="19" t="n">
        <x:f>IF(I188=1,G188,H188)</x:f>
        <x:v>0</x:v>
      </x:c>
      <x:c r="K188" s="19" t="n">
        <x:v>2</x:v>
      </x:c>
      <x:c r="L188" s="19" t="n">
        <x:f>K188+E188*0.5</x:f>
        <x:v>2.5</x:v>
      </x:c>
      <x:c r="M188" s="19" t="n">
        <x:f>D188+J188+F188*L188</x:f>
        <x:v>30</x:v>
      </x:c>
    </x:row>
    <x:row r="189" ht="25" customHeight="1">
      <x:c r="A189" s="3" t="str">
        <x:v>玩蛇</x:v>
      </x:c>
      <x:c r="B189" s="3" t="str">
        <x:v>wanshe</x:v>
      </x:c>
      <x:c r="C189" s="3" t="str">
        <x:v>远防</x:v>
      </x:c>
      <x:c r="D189" s="23" t="n">
        <x:v>3</x:v>
      </x:c>
      <x:c r="E189" s="23" t="n">
        <x:v>0</x:v>
      </x:c>
      <x:c r="F189" s="23" t="n">
        <x:v>0</x:v>
      </x:c>
      <x:c r="G189" s="23" t="n">
        <x:v>0</x:v>
      </x:c>
      <x:c r="H189" s="23" t="n">
        <x:v>0</x:v>
      </x:c>
      <x:c r="I189" s="23" t="n">
        <x:v>1</x:v>
      </x:c>
      <x:c r="J189" s="19" t="n">
        <x:f>IF(I189=1,G189,H189)</x:f>
        <x:v>0</x:v>
      </x:c>
      <x:c r="K189" s="19" t="n">
        <x:v>3</x:v>
      </x:c>
      <x:c r="L189" s="19" t="n">
        <x:f>K189+E189*0.5</x:f>
        <x:v>3</x:v>
      </x:c>
      <x:c r="M189" s="19" t="n">
        <x:f>D189+J189+F189*L189</x:f>
        <x:v>3</x:v>
      </x:c>
    </x:row>
    <x:row r="190" ht="25" customHeight="1">
      <x:c r="A190" s="10" t="str">
        <x:v>涂涂</x:v>
      </x:c>
      <x:c r="B190" s="10" t="str">
        <x:v>tutu</x:v>
      </x:c>
      <x:c r="C190" s="10" t="str">
        <x:v>生命</x:v>
      </x:c>
      <x:c r="D190" s="23" t="n">
        <x:v>57</x:v>
      </x:c>
      <x:c r="E190" s="23" t="n">
        <x:v>1</x:v>
      </x:c>
      <x:c r="F190" s="23" t="n">
        <x:v>8</x:v>
      </x:c>
      <x:c r="G190" s="23" t="n">
        <x:v>0</x:v>
      </x:c>
      <x:c r="H190" s="23" t="n">
        <x:v>0</x:v>
      </x:c>
      <x:c r="I190" s="23" t="n">
        <x:v>1</x:v>
      </x:c>
      <x:c r="J190" s="19" t="n">
        <x:f>IF(I190=1,G190,H190)</x:f>
        <x:v>0</x:v>
      </x:c>
      <x:c r="K190" s="19" t="n">
        <x:v>3</x:v>
      </x:c>
      <x:c r="L190" s="19" t="n">
        <x:f>K190+E190*0.5</x:f>
        <x:v>3.5</x:v>
      </x:c>
      <x:c r="M190" s="19" t="n">
        <x:f>D190+J190+F190*L190</x:f>
        <x:v>85</x:v>
      </x:c>
    </x:row>
    <x:row r="191" ht="25" customHeight="1">
      <x:c r="A191" s="3" t="str">
        <x:v>涂涂</x:v>
      </x:c>
      <x:c r="B191" s="3" t="str">
        <x:v>tutu</x:v>
      </x:c>
      <x:c r="C191" s="3" t="str">
        <x:v>疲劳上限</x:v>
      </x:c>
      <x:c r="D191" s="23" t="n">
        <x:v>104</x:v>
      </x:c>
      <x:c r="E191" s="23" t="n">
        <x:v>1</x:v>
      </x:c>
      <x:c r="F191" s="23" t="n">
        <x:v>4</x:v>
      </x:c>
      <x:c r="G191" s="23" t="n">
        <x:v>0</x:v>
      </x:c>
      <x:c r="H191" s="23" t="n">
        <x:v>5</x:v>
      </x:c>
      <x:c r="I191" s="23" t="n">
        <x:v>1</x:v>
      </x:c>
      <x:c r="J191" s="19" t="n">
        <x:f>IF(I191=1,G191,H191)</x:f>
        <x:v>0</x:v>
      </x:c>
      <x:c r="K191" s="19" t="n">
        <x:v>3</x:v>
      </x:c>
      <x:c r="L191" s="19" t="n">
        <x:f>K191+E191*0.5</x:f>
        <x:v>3.5</x:v>
      </x:c>
      <x:c r="M191" s="19" t="n">
        <x:f>D191+J191+F191*L191</x:f>
        <x:v>118</x:v>
      </x:c>
    </x:row>
    <x:row r="192" ht="25" customHeight="1">
      <x:c r="A192" s="10" t="str">
        <x:v>涂涂</x:v>
      </x:c>
      <x:c r="B192" s="10" t="str">
        <x:v>tutu</x:v>
      </x:c>
      <x:c r="C192" s="10" t="str">
        <x:v>决心</x:v>
      </x:c>
      <x:c r="D192" s="23" t="n">
        <x:v>56</x:v>
      </x:c>
      <x:c r="E192" s="23" t="n">
        <x:v>2</x:v>
      </x:c>
      <x:c r="F192" s="23" t="n">
        <x:v>10</x:v>
      </x:c>
      <x:c r="G192" s="23" t="n">
        <x:v>5</x:v>
      </x:c>
      <x:c r="H192" s="23" t="n">
        <x:v>0</x:v>
      </x:c>
      <x:c r="I192" s="23" t="n">
        <x:v>1</x:v>
      </x:c>
      <x:c r="J192" s="19" t="n">
        <x:f>IF(I192=1,G192,H192)</x:f>
        <x:v>5</x:v>
      </x:c>
      <x:c r="K192" s="19" t="n">
        <x:v>3</x:v>
      </x:c>
      <x:c r="L192" s="19" t="n">
        <x:f>K192+E192*0.5</x:f>
        <x:v>4</x:v>
      </x:c>
      <x:c r="M192" s="19" t="n">
        <x:f>D192+J192+F192*L192</x:f>
        <x:v>101</x:v>
      </x:c>
    </x:row>
    <x:row r="193" ht="25" customHeight="1">
      <x:c r="A193" s="3" t="str">
        <x:v>涂涂</x:v>
      </x:c>
      <x:c r="B193" s="3" t="str">
        <x:v>tutu</x:v>
      </x:c>
      <x:c r="C193" s="3" t="str">
        <x:v>先攻</x:v>
      </x:c>
      <x:c r="D193" s="23" t="n">
        <x:v>100</x:v>
      </x:c>
      <x:c r="E193" s="23" t="n">
        <x:v>0</x:v>
      </x:c>
      <x:c r="F193" s="23" t="n">
        <x:v>0</x:v>
      </x:c>
      <x:c r="G193" s="23" t="n">
        <x:v>0</x:v>
      </x:c>
      <x:c r="H193" s="23" t="n">
        <x:v>2</x:v>
      </x:c>
      <x:c r="I193" s="23" t="n">
        <x:v>1</x:v>
      </x:c>
      <x:c r="J193" s="19" t="n">
        <x:f>IF(I193=1,G193,H193)</x:f>
        <x:v>0</x:v>
      </x:c>
      <x:c r="K193" s="19" t="n">
        <x:v>4</x:v>
      </x:c>
      <x:c r="L193" s="19" t="n">
        <x:f>K193+E193*0.5</x:f>
        <x:v>4</x:v>
      </x:c>
      <x:c r="M193" s="19" t="n">
        <x:f>D193+J193+F193*L193</x:f>
        <x:v>100</x:v>
      </x:c>
    </x:row>
    <x:row r="194" ht="25" customHeight="1">
      <x:c r="A194" s="10" t="str">
        <x:v>涂涂</x:v>
      </x:c>
      <x:c r="B194" s="10" t="str">
        <x:v>tutu</x:v>
      </x:c>
      <x:c r="C194" s="10" t="str">
        <x:v>近攻</x:v>
      </x:c>
      <x:c r="D194" s="23" t="n">
        <x:v>51</x:v>
      </x:c>
      <x:c r="E194" s="23" t="n">
        <x:v>0</x:v>
      </x:c>
      <x:c r="F194" s="23" t="n">
        <x:v>8</x:v>
      </x:c>
      <x:c r="G194" s="23" t="n">
        <x:v>0</x:v>
      </x:c>
      <x:c r="H194" s="23" t="n">
        <x:v>0</x:v>
      </x:c>
      <x:c r="I194" s="23" t="n">
        <x:v>1</x:v>
      </x:c>
      <x:c r="J194" s="19" t="n">
        <x:f>IF(I194=1,G194,H194)</x:f>
        <x:v>0</x:v>
      </x:c>
      <x:c r="K194" s="19" t="n">
        <x:v>2</x:v>
      </x:c>
      <x:c r="L194" s="19" t="n">
        <x:f>K194+E194*0.5</x:f>
        <x:v>2</x:v>
      </x:c>
      <x:c r="M194" s="19" t="n">
        <x:f>D194+J194+F194*L194</x:f>
        <x:v>67</x:v>
      </x:c>
    </x:row>
    <x:row r="195" ht="25" customHeight="1">
      <x:c r="A195" s="3" t="str">
        <x:v>涂涂</x:v>
      </x:c>
      <x:c r="B195" s="3" t="str">
        <x:v>tutu</x:v>
      </x:c>
      <x:c r="C195" s="3" t="str">
        <x:v>远攻</x:v>
      </x:c>
      <x:c r="D195" s="23" t="n">
        <x:v>36</x:v>
      </x:c>
      <x:c r="E195" s="23" t="n">
        <x:v>0</x:v>
      </x:c>
      <x:c r="F195" s="23" t="n">
        <x:v>0</x:v>
      </x:c>
      <x:c r="G195" s="23" t="n">
        <x:v>0</x:v>
      </x:c>
      <x:c r="H195" s="23" t="n">
        <x:v>0</x:v>
      </x:c>
      <x:c r="I195" s="23" t="n">
        <x:v>1</x:v>
      </x:c>
      <x:c r="J195" s="19" t="n">
        <x:f>IF(I195=1,G195,H195)</x:f>
        <x:v>0</x:v>
      </x:c>
      <x:c r="K195" s="19" t="n">
        <x:v>3</x:v>
      </x:c>
      <x:c r="L195" s="19" t="n">
        <x:f>K195+E195*0.5</x:f>
        <x:v>3</x:v>
      </x:c>
      <x:c r="M195" s="19" t="n">
        <x:f>D195+J195+F195*L195</x:f>
        <x:v>36</x:v>
      </x:c>
    </x:row>
    <x:row r="196" ht="25" customHeight="1">
      <x:c r="A196" s="10" t="str">
        <x:v>涂涂</x:v>
      </x:c>
      <x:c r="B196" s="10" t="str">
        <x:v>tutu</x:v>
      </x:c>
      <x:c r="C196" s="10" t="str">
        <x:v>近防</x:v>
      </x:c>
      <x:c r="D196" s="23" t="n">
        <x:v>4</x:v>
      </x:c>
      <x:c r="E196" s="23" t="n">
        <x:v>0</x:v>
      </x:c>
      <x:c r="F196" s="23" t="n">
        <x:v>0</x:v>
      </x:c>
      <x:c r="G196" s="23" t="n">
        <x:v>0</x:v>
      </x:c>
      <x:c r="H196" s="23" t="n">
        <x:v>0</x:v>
      </x:c>
      <x:c r="I196" s="23" t="n">
        <x:v>1</x:v>
      </x:c>
      <x:c r="J196" s="19" t="n">
        <x:f>IF(I196=1,G196,H196)</x:f>
        <x:v>0</x:v>
      </x:c>
      <x:c r="K196" s="19" t="n">
        <x:v>2</x:v>
      </x:c>
      <x:c r="L196" s="19" t="n">
        <x:f>K196+E196*0.5</x:f>
        <x:v>2</x:v>
      </x:c>
      <x:c r="M196" s="19" t="n">
        <x:f>D196+J196+F196*L196</x:f>
        <x:v>4</x:v>
      </x:c>
    </x:row>
    <x:row r="197" ht="25" customHeight="1">
      <x:c r="A197" s="3" t="str">
        <x:v>涂涂</x:v>
      </x:c>
      <x:c r="B197" s="3" t="str">
        <x:v>tutu</x:v>
      </x:c>
      <x:c r="C197" s="3" t="str">
        <x:v>远防</x:v>
      </x:c>
      <x:c r="D197" s="23" t="n">
        <x:v>3</x:v>
      </x:c>
      <x:c r="E197" s="23" t="n">
        <x:v>0</x:v>
      </x:c>
      <x:c r="F197" s="23" t="n">
        <x:v>0</x:v>
      </x:c>
      <x:c r="G197" s="23" t="n">
        <x:v>0</x:v>
      </x:c>
      <x:c r="H197" s="23" t="n">
        <x:v>0</x:v>
      </x:c>
      <x:c r="I197" s="23" t="n">
        <x:v>1</x:v>
      </x:c>
      <x:c r="J197" s="19" t="n">
        <x:f>IF(I197=1,G197,H197)</x:f>
        <x:v>0</x:v>
      </x:c>
      <x:c r="K197" s="19" t="n">
        <x:v>3</x:v>
      </x:c>
      <x:c r="L197" s="19" t="n">
        <x:f>K197+E197*0.5</x:f>
        <x:v>3</x:v>
      </x:c>
      <x:c r="M197" s="19" t="n">
        <x:f>D197+J197+F197*L197</x:f>
        <x:v>3</x:v>
      </x:c>
    </x:row>
    <x:row r="198" ht="25" customHeight="1">
      <x:c r="A198" s="10" t="str">
        <x:v>奶盖</x:v>
      </x:c>
      <x:c r="B198" s="10" t="str">
        <x:v>naigai</x:v>
      </x:c>
      <x:c r="C198" s="10" t="str">
        <x:v>生命</x:v>
      </x:c>
      <x:c r="D198" s="23" t="n">
        <x:v>61</x:v>
      </x:c>
      <x:c r="E198" s="23" t="n">
        <x:v>1</x:v>
      </x:c>
      <x:c r="F198" s="23" t="n">
        <x:v>7</x:v>
      </x:c>
      <x:c r="G198" s="23" t="n">
        <x:v>0</x:v>
      </x:c>
      <x:c r="H198" s="23" t="n">
        <x:v>0</x:v>
      </x:c>
      <x:c r="I198" s="23" t="n">
        <x:v>1</x:v>
      </x:c>
      <x:c r="J198" s="19" t="n">
        <x:f>IF(I198=1,G198,H198)</x:f>
        <x:v>0</x:v>
      </x:c>
      <x:c r="K198" s="19" t="n">
        <x:v>3</x:v>
      </x:c>
      <x:c r="L198" s="19" t="n">
        <x:f>K198+E198*0.5</x:f>
        <x:v>3.5</x:v>
      </x:c>
      <x:c r="M198" s="19" t="n">
        <x:f>D198+J198+F198*L198</x:f>
        <x:v>85.5</x:v>
      </x:c>
    </x:row>
    <x:row r="199" ht="25" customHeight="1">
      <x:c r="A199" s="3" t="str">
        <x:v>奶盖</x:v>
      </x:c>
      <x:c r="B199" s="3" t="str">
        <x:v>naigai</x:v>
      </x:c>
      <x:c r="C199" s="3" t="str">
        <x:v>疲劳上限</x:v>
      </x:c>
      <x:c r="D199" s="23" t="n">
        <x:v>102</x:v>
      </x:c>
      <x:c r="E199" s="23" t="n">
        <x:v>0</x:v>
      </x:c>
      <x:c r="F199" s="23" t="n">
        <x:v>3</x:v>
      </x:c>
      <x:c r="G199" s="23" t="n">
        <x:v>0</x:v>
      </x:c>
      <x:c r="H199" s="23" t="n">
        <x:v>3</x:v>
      </x:c>
      <x:c r="I199" s="23" t="n">
        <x:v>1</x:v>
      </x:c>
      <x:c r="J199" s="19" t="n">
        <x:f>IF(I199=1,G199,H199)</x:f>
        <x:v>0</x:v>
      </x:c>
      <x:c r="K199" s="19" t="n">
        <x:v>3</x:v>
      </x:c>
      <x:c r="L199" s="19" t="n">
        <x:f>K199+E199*0.5</x:f>
        <x:v>3</x:v>
      </x:c>
      <x:c r="M199" s="19" t="n">
        <x:f>D199+J199+F199*L199</x:f>
        <x:v>111</x:v>
      </x:c>
    </x:row>
    <x:row r="200" ht="25" customHeight="1">
      <x:c r="A200" s="10" t="str">
        <x:v>奶盖</x:v>
      </x:c>
      <x:c r="B200" s="10" t="str">
        <x:v>naigai</x:v>
      </x:c>
      <x:c r="C200" s="10" t="str">
        <x:v>决心</x:v>
      </x:c>
      <x:c r="D200" s="23" t="n">
        <x:v>38</x:v>
      </x:c>
      <x:c r="E200" s="23" t="n">
        <x:v>0</x:v>
      </x:c>
      <x:c r="F200" s="23" t="n">
        <x:v>4</x:v>
      </x:c>
      <x:c r="G200" s="23" t="n">
        <x:v>5</x:v>
      </x:c>
      <x:c r="H200" s="23" t="n">
        <x:v>0</x:v>
      </x:c>
      <x:c r="I200" s="23" t="n">
        <x:v>1</x:v>
      </x:c>
      <x:c r="J200" s="19" t="n">
        <x:f>IF(I200=1,G200,H200)</x:f>
        <x:v>5</x:v>
      </x:c>
      <x:c r="K200" s="19" t="n">
        <x:v>3</x:v>
      </x:c>
      <x:c r="L200" s="19" t="n">
        <x:f>K200+E200*0.5</x:f>
        <x:v>3</x:v>
      </x:c>
      <x:c r="M200" s="19" t="n">
        <x:f>D200+J200+F200*L200</x:f>
        <x:v>55</x:v>
      </x:c>
    </x:row>
    <x:row r="201" ht="25" customHeight="1">
      <x:c r="A201" s="3" t="str">
        <x:v>奶盖</x:v>
      </x:c>
      <x:c r="B201" s="3" t="str">
        <x:v>naigai</x:v>
      </x:c>
      <x:c r="C201" s="3" t="str">
        <x:v>先攻</x:v>
      </x:c>
      <x:c r="D201" s="23" t="n">
        <x:v>104</x:v>
      </x:c>
      <x:c r="E201" s="23" t="n">
        <x:v>0</x:v>
      </x:c>
      <x:c r="F201" s="23" t="n">
        <x:v>0</x:v>
      </x:c>
      <x:c r="G201" s="23" t="n">
        <x:v>0</x:v>
      </x:c>
      <x:c r="H201" s="23" t="n">
        <x:v>0</x:v>
      </x:c>
      <x:c r="I201" s="23" t="n">
        <x:v>1</x:v>
      </x:c>
      <x:c r="J201" s="19" t="n">
        <x:f>IF(I201=1,G201,H201)</x:f>
        <x:v>0</x:v>
      </x:c>
      <x:c r="K201" s="19" t="n">
        <x:v>4</x:v>
      </x:c>
      <x:c r="L201" s="19" t="n">
        <x:f>K201+E201*0.5</x:f>
        <x:v>4</x:v>
      </x:c>
      <x:c r="M201" s="19" t="n">
        <x:f>D201+J201+F201*L201</x:f>
        <x:v>104</x:v>
      </x:c>
    </x:row>
    <x:row r="202" ht="25" customHeight="1">
      <x:c r="A202" s="10" t="str">
        <x:v>奶盖</x:v>
      </x:c>
      <x:c r="B202" s="10" t="str">
        <x:v>naigai</x:v>
      </x:c>
      <x:c r="C202" s="10" t="str">
        <x:v>近攻</x:v>
      </x:c>
      <x:c r="D202" s="23" t="n">
        <x:v>51</x:v>
      </x:c>
      <x:c r="E202" s="23" t="n">
        <x:v>0</x:v>
      </x:c>
      <x:c r="F202" s="23" t="n">
        <x:v>0</x:v>
      </x:c>
      <x:c r="G202" s="23" t="n">
        <x:v>0</x:v>
      </x:c>
      <x:c r="H202" s="23" t="n">
        <x:v>0</x:v>
      </x:c>
      <x:c r="I202" s="23" t="n">
        <x:v>1</x:v>
      </x:c>
      <x:c r="J202" s="19" t="n">
        <x:f>IF(I202=1,G202,H202)</x:f>
        <x:v>0</x:v>
      </x:c>
      <x:c r="K202" s="19" t="n">
        <x:v>2</x:v>
      </x:c>
      <x:c r="L202" s="19" t="n">
        <x:f>K202+E202*0.5</x:f>
        <x:v>2</x:v>
      </x:c>
      <x:c r="M202" s="19" t="n">
        <x:f>D202+J202+F202*L202</x:f>
        <x:v>51</x:v>
      </x:c>
    </x:row>
    <x:row r="203" ht="25" customHeight="1">
      <x:c r="A203" s="3" t="str">
        <x:v>奶盖</x:v>
      </x:c>
      <x:c r="B203" s="3" t="str">
        <x:v>naigai</x:v>
      </x:c>
      <x:c r="C203" s="3" t="str">
        <x:v>远攻</x:v>
      </x:c>
      <x:c r="D203" s="23" t="n">
        <x:v>49</x:v>
      </x:c>
      <x:c r="E203" s="23" t="n">
        <x:v>1</x:v>
      </x:c>
      <x:c r="F203" s="23" t="n">
        <x:v>6</x:v>
      </x:c>
      <x:c r="G203" s="23" t="n">
        <x:v>0</x:v>
      </x:c>
      <x:c r="H203" s="23" t="n">
        <x:v>0</x:v>
      </x:c>
      <x:c r="I203" s="23" t="n">
        <x:v>1</x:v>
      </x:c>
      <x:c r="J203" s="19" t="n">
        <x:f>IF(I203=1,G203,H203)</x:f>
        <x:v>0</x:v>
      </x:c>
      <x:c r="K203" s="19" t="n">
        <x:v>3</x:v>
      </x:c>
      <x:c r="L203" s="19" t="n">
        <x:f>K203+E203*0.5</x:f>
        <x:v>3.5</x:v>
      </x:c>
      <x:c r="M203" s="19" t="n">
        <x:f>D203+J203+F203*L203</x:f>
        <x:v>70</x:v>
      </x:c>
    </x:row>
    <x:row r="204" ht="25" customHeight="1">
      <x:c r="A204" s="10" t="str">
        <x:v>奶盖</x:v>
      </x:c>
      <x:c r="B204" s="10" t="str">
        <x:v>naigai</x:v>
      </x:c>
      <x:c r="C204" s="10" t="str">
        <x:v>近防</x:v>
      </x:c>
      <x:c r="D204" s="23" t="n">
        <x:v>6</x:v>
      </x:c>
      <x:c r="E204" s="23" t="n">
        <x:v>2</x:v>
      </x:c>
      <x:c r="F204" s="23" t="n">
        <x:v>10</x:v>
      </x:c>
      <x:c r="G204" s="23" t="n">
        <x:v>0</x:v>
      </x:c>
      <x:c r="H204" s="23" t="n">
        <x:v>3</x:v>
      </x:c>
      <x:c r="I204" s="23" t="n">
        <x:v>1</x:v>
      </x:c>
      <x:c r="J204" s="19" t="n">
        <x:f>IF(I204=1,G204,H204)</x:f>
        <x:v>0</x:v>
      </x:c>
      <x:c r="K204" s="19" t="n">
        <x:v>2</x:v>
      </x:c>
      <x:c r="L204" s="19" t="n">
        <x:f>K204+E204*0.5</x:f>
        <x:v>3</x:v>
      </x:c>
      <x:c r="M204" s="19" t="n">
        <x:f>D204+J204+F204*L204</x:f>
        <x:v>36</x:v>
      </x:c>
    </x:row>
    <x:row r="205" ht="25" customHeight="1">
      <x:c r="A205" s="3" t="str">
        <x:v>奶盖</x:v>
      </x:c>
      <x:c r="B205" s="3" t="str">
        <x:v>naigai</x:v>
      </x:c>
      <x:c r="C205" s="3" t="str">
        <x:v>远防</x:v>
      </x:c>
      <x:c r="D205" s="23" t="n">
        <x:v>3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1</x:v>
      </x:c>
      <x:c r="J205" s="19" t="n">
        <x:f>IF(I205=1,G205,H205)</x:f>
        <x:v>0</x:v>
      </x:c>
      <x:c r="K205" s="19" t="n">
        <x:v>3</x:v>
      </x:c>
      <x:c r="L205" s="19" t="n">
        <x:f>K205+E205*0.5</x:f>
        <x:v>3</x:v>
      </x:c>
      <x:c r="M205" s="19" t="n">
        <x:f>D205+J205+F205*L205</x:f>
        <x:v>3</x:v>
      </x:c>
    </x:row>
    <x:row r="206" ht="25" customHeight="1">
      <x:c r="A206" s="10" t="str">
        <x:v>小杰</x:v>
      </x:c>
      <x:c r="B206" s="10" t="str">
        <x:v>xiaojie</x:v>
      </x:c>
      <x:c r="C206" s="10" t="str">
        <x:v>生命</x:v>
      </x:c>
      <x:c r="D206" s="23" t="n">
        <x:v>64</x:v>
      </x:c>
      <x:c r="E206" s="23" t="n">
        <x:v>1</x:v>
      </x:c>
      <x:c r="F206" s="23" t="n">
        <x:v>4</x:v>
      </x:c>
      <x:c r="G206" s="23" t="n">
        <x:v>0</x:v>
      </x:c>
      <x:c r="H206" s="23" t="n">
        <x:v>0</x:v>
      </x:c>
      <x:c r="I206" s="23" t="n">
        <x:v>1</x:v>
      </x:c>
      <x:c r="J206" s="19" t="n">
        <x:f>IF(I206=1,G206,H206)</x:f>
        <x:v>0</x:v>
      </x:c>
      <x:c r="K206" s="19" t="n">
        <x:v>3</x:v>
      </x:c>
      <x:c r="L206" s="19" t="n">
        <x:f>K206+E206*0.5</x:f>
        <x:v>3.5</x:v>
      </x:c>
      <x:c r="M206" s="19" t="n">
        <x:f>D206+J206+F206*L206</x:f>
        <x:v>78</x:v>
      </x:c>
    </x:row>
    <x:row r="207" ht="25" customHeight="1">
      <x:c r="A207" s="3" t="str">
        <x:v>小杰</x:v>
      </x:c>
      <x:c r="B207" s="3" t="str">
        <x:v>xiaojie</x:v>
      </x:c>
      <x:c r="C207" s="3" t="str">
        <x:v>疲劳上限</x:v>
      </x:c>
      <x:c r="D207" s="23" t="n">
        <x:v>110</x:v>
      </x:c>
      <x:c r="E207" s="23" t="n">
        <x:v>2</x:v>
      </x:c>
      <x:c r="F207" s="23" t="n">
        <x:v>4</x:v>
      </x:c>
      <x:c r="G207" s="23" t="n">
        <x:v>0</x:v>
      </x:c>
      <x:c r="H207" s="23" t="n">
        <x:v>3</x:v>
      </x:c>
      <x:c r="I207" s="23" t="n">
        <x:v>1</x:v>
      </x:c>
      <x:c r="J207" s="19" t="n">
        <x:f>IF(I207=1,G207,H207)</x:f>
        <x:v>0</x:v>
      </x:c>
      <x:c r="K207" s="19" t="n">
        <x:v>3</x:v>
      </x:c>
      <x:c r="L207" s="19" t="n">
        <x:f>K207+E207*0.5</x:f>
        <x:v>4</x:v>
      </x:c>
      <x:c r="M207" s="19" t="n">
        <x:f>D207+J207+F207*L207</x:f>
        <x:v>126</x:v>
      </x:c>
    </x:row>
    <x:row r="208" ht="25" customHeight="1">
      <x:c r="A208" s="10" t="str">
        <x:v>小杰</x:v>
      </x:c>
      <x:c r="B208" s="10" t="str">
        <x:v>xiaojie</x:v>
      </x:c>
      <x:c r="C208" s="10" t="str">
        <x:v>决心</x:v>
      </x:c>
      <x:c r="D208" s="23" t="n">
        <x:v>44</x:v>
      </x:c>
      <x:c r="E208" s="23" t="n">
        <x:v>0</x:v>
      </x:c>
      <x:c r="F208" s="23" t="n">
        <x:v>2</x:v>
      </x:c>
      <x:c r="G208" s="23" t="n">
        <x:v>3</x:v>
      </x:c>
      <x:c r="H208" s="23" t="n">
        <x:v>0</x:v>
      </x:c>
      <x:c r="I208" s="23" t="n">
        <x:v>1</x:v>
      </x:c>
      <x:c r="J208" s="19" t="n">
        <x:f>IF(I208=1,G208,H208)</x:f>
        <x:v>3</x:v>
      </x:c>
      <x:c r="K208" s="19" t="n">
        <x:v>3</x:v>
      </x:c>
      <x:c r="L208" s="19" t="n">
        <x:f>K208+E208*0.5</x:f>
        <x:v>3</x:v>
      </x:c>
      <x:c r="M208" s="19" t="n">
        <x:f>D208+J208+F208*L208</x:f>
        <x:v>53</x:v>
      </x:c>
    </x:row>
    <x:row r="209" ht="25" customHeight="1">
      <x:c r="A209" s="3" t="str">
        <x:v>小杰</x:v>
      </x:c>
      <x:c r="B209" s="3" t="str">
        <x:v>xiaojie</x:v>
      </x:c>
      <x:c r="C209" s="3" t="str">
        <x:v>先攻</x:v>
      </x:c>
      <x:c r="D209" s="23" t="n">
        <x:v>96</x:v>
      </x:c>
      <x:c r="E209" s="23" t="n">
        <x:v>0</x:v>
      </x:c>
      <x:c r="F209" s="23" t="n">
        <x:v>0</x:v>
      </x:c>
      <x:c r="G209" s="23" t="n">
        <x:v>3</x:v>
      </x:c>
      <x:c r="H209" s="23" t="n">
        <x:v>0</x:v>
      </x:c>
      <x:c r="I209" s="23" t="n">
        <x:v>1</x:v>
      </x:c>
      <x:c r="J209" s="19" t="n">
        <x:f>IF(I209=1,G209,H209)</x:f>
        <x:v>3</x:v>
      </x:c>
      <x:c r="K209" s="19" t="n">
        <x:v>4</x:v>
      </x:c>
      <x:c r="L209" s="19" t="n">
        <x:f>K209+E209*0.5</x:f>
        <x:v>4</x:v>
      </x:c>
      <x:c r="M209" s="19" t="n">
        <x:f>D209+J209+F209*L209</x:f>
        <x:v>99</x:v>
      </x:c>
    </x:row>
    <x:row r="210" ht="25" customHeight="1">
      <x:c r="A210" s="10" t="str">
        <x:v>小杰</x:v>
      </x:c>
      <x:c r="B210" s="10" t="str">
        <x:v>xiaojie</x:v>
      </x:c>
      <x:c r="C210" s="10" t="str">
        <x:v>近攻</x:v>
      </x:c>
      <x:c r="D210" s="23" t="n">
        <x:v>56</x:v>
      </x:c>
      <x:c r="E210" s="23" t="n">
        <x:v>1</x:v>
      </x:c>
      <x:c r="F210" s="23" t="n">
        <x:v>10</x:v>
      </x:c>
      <x:c r="G210" s="23" t="n">
        <x:v>0</x:v>
      </x:c>
      <x:c r="H210" s="23" t="n">
        <x:v>3</x:v>
      </x:c>
      <x:c r="I210" s="23" t="n">
        <x:v>1</x:v>
      </x:c>
      <x:c r="J210" s="19" t="n">
        <x:f>IF(I210=1,G210,H210)</x:f>
        <x:v>0</x:v>
      </x:c>
      <x:c r="K210" s="19" t="n">
        <x:v>2</x:v>
      </x:c>
      <x:c r="L210" s="19" t="n">
        <x:f>K210+E210*0.5</x:f>
        <x:v>2.5</x:v>
      </x:c>
      <x:c r="M210" s="19" t="n">
        <x:f>D210+J210+F210*L210</x:f>
        <x:v>81</x:v>
      </x:c>
    </x:row>
    <x:row r="211" ht="25" customHeight="1">
      <x:c r="A211" s="3" t="str">
        <x:v>小杰</x:v>
      </x:c>
      <x:c r="B211" s="3" t="str">
        <x:v>xiaojie</x:v>
      </x:c>
      <x:c r="C211" s="3" t="str">
        <x:v>远攻</x:v>
      </x:c>
      <x:c r="D211" s="23" t="n">
        <x:v>32</x:v>
      </x:c>
      <x:c r="E211" s="23" t="n">
        <x:v>0</x:v>
      </x:c>
      <x:c r="F211" s="23" t="n">
        <x:v>0</x:v>
      </x:c>
      <x:c r="G211" s="23" t="n">
        <x:v>0</x:v>
      </x:c>
      <x:c r="H211" s="23" t="n">
        <x:v>0</x:v>
      </x:c>
      <x:c r="I211" s="23" t="n">
        <x:v>1</x:v>
      </x:c>
      <x:c r="J211" s="19" t="n">
        <x:f>IF(I211=1,G211,H211)</x:f>
        <x:v>0</x:v>
      </x:c>
      <x:c r="K211" s="19" t="n">
        <x:v>3</x:v>
      </x:c>
      <x:c r="L211" s="19" t="n">
        <x:f>K211+E211*0.5</x:f>
        <x:v>3</x:v>
      </x:c>
      <x:c r="M211" s="19" t="n">
        <x:f>D211+J211+F211*L211</x:f>
        <x:v>32</x:v>
      </x:c>
    </x:row>
    <x:row r="212" ht="25" customHeight="1">
      <x:c r="A212" s="10" t="str">
        <x:v>小杰</x:v>
      </x:c>
      <x:c r="B212" s="10" t="str">
        <x:v>xiaojie</x:v>
      </x:c>
      <x:c r="C212" s="10" t="str">
        <x:v>近防</x:v>
      </x:c>
      <x:c r="D212" s="23" t="n">
        <x:v>5</x:v>
      </x:c>
      <x:c r="E212" s="23" t="n">
        <x:v>0</x:v>
      </x:c>
      <x:c r="F212" s="23" t="n">
        <x:v>10</x:v>
      </x:c>
      <x:c r="G212" s="23" t="n">
        <x:v>0</x:v>
      </x:c>
      <x:c r="H212" s="23" t="n">
        <x:v>0</x:v>
      </x:c>
      <x:c r="I212" s="23" t="n">
        <x:v>1</x:v>
      </x:c>
      <x:c r="J212" s="19" t="n">
        <x:f>IF(I212=1,G212,H212)</x:f>
        <x:v>0</x:v>
      </x:c>
      <x:c r="K212" s="19" t="n">
        <x:v>2</x:v>
      </x:c>
      <x:c r="L212" s="19" t="n">
        <x:f>K212+E212*0.5</x:f>
        <x:v>2</x:v>
      </x:c>
      <x:c r="M212" s="19" t="n">
        <x:f>D212+J212+F212*L212</x:f>
        <x:v>25</x:v>
      </x:c>
    </x:row>
    <x:row r="213" ht="25" customHeight="1">
      <x:c r="A213" s="3" t="str">
        <x:v>小杰</x:v>
      </x:c>
      <x:c r="B213" s="3" t="str">
        <x:v>xiaojie</x:v>
      </x:c>
      <x:c r="C213" s="3" t="str">
        <x:v>远防</x:v>
      </x:c>
      <x:c r="D213" s="23" t="n">
        <x:v>2</x:v>
      </x:c>
      <x:c r="E213" s="23" t="n">
        <x:v>0</x:v>
      </x:c>
      <x:c r="F213" s="23" t="n">
        <x:v>0</x:v>
      </x:c>
      <x:c r="G213" s="23" t="n">
        <x:v>0</x:v>
      </x:c>
      <x:c r="H213" s="23" t="n">
        <x:v>0</x:v>
      </x:c>
      <x:c r="I213" s="23" t="n">
        <x:v>1</x:v>
      </x:c>
      <x:c r="J213" s="19" t="n">
        <x:f>IF(I213=1,G213,H213)</x:f>
        <x:v>0</x:v>
      </x:c>
      <x:c r="K213" s="19" t="n">
        <x:v>3</x:v>
      </x:c>
      <x:c r="L213" s="19" t="n">
        <x:f>K213+E213*0.5</x:f>
        <x:v>3</x:v>
      </x:c>
      <x:c r="M213" s="19" t="n">
        <x:f>D213+J213+F213*L213</x:f>
        <x:v>2</x:v>
      </x:c>
    </x:row>
    <x:row r="214" ht="25" customHeight="1">
      <x:c r="A214" s="10" t="str">
        <x:v>bula</x:v>
      </x:c>
      <x:c r="B214" s="10" t="str">
        <x:v>bula</x:v>
      </x:c>
      <x:c r="C214" s="10" t="str">
        <x:v>生命</x:v>
      </x:c>
      <x:c r="D214" s="23" t="n">
        <x:v>57</x:v>
      </x:c>
      <x:c r="E214" s="23" t="n">
        <x:v>1</x:v>
      </x:c>
      <x:c r="F214" s="23" t="n">
        <x:v>7</x:v>
      </x:c>
      <x:c r="G214" s="23" t="n">
        <x:v>0</x:v>
      </x:c>
      <x:c r="H214" s="23" t="n">
        <x:v>0</x:v>
      </x:c>
      <x:c r="I214" s="23" t="n">
        <x:v>1</x:v>
      </x:c>
      <x:c r="J214" s="19" t="n">
        <x:f>IF(I214=1,G214,H214)</x:f>
        <x:v>0</x:v>
      </x:c>
      <x:c r="K214" s="19" t="n">
        <x:v>3</x:v>
      </x:c>
      <x:c r="L214" s="19" t="n">
        <x:f>K214+E214*0.5</x:f>
        <x:v>3.5</x:v>
      </x:c>
      <x:c r="M214" s="19" t="n">
        <x:f>D214+J214+F214*L214</x:f>
        <x:v>81.5</x:v>
      </x:c>
    </x:row>
    <x:row r="215" ht="25" customHeight="1">
      <x:c r="A215" s="3" t="str">
        <x:v>bula</x:v>
      </x:c>
      <x:c r="B215" s="3" t="str">
        <x:v>bula</x:v>
      </x:c>
      <x:c r="C215" s="3" t="str">
        <x:v>疲劳上限</x:v>
      </x:c>
      <x:c r="D215" s="23" t="n">
        <x:v>103</x:v>
      </x:c>
      <x:c r="E215" s="23" t="n">
        <x:v>0</x:v>
      </x:c>
      <x:c r="F215" s="23" t="n">
        <x:v>3</x:v>
      </x:c>
      <x:c r="G215" s="23" t="n">
        <x:v>0</x:v>
      </x:c>
      <x:c r="H215" s="23" t="n">
        <x:v>0</x:v>
      </x:c>
      <x:c r="I215" s="23" t="n">
        <x:v>1</x:v>
      </x:c>
      <x:c r="J215" s="19" t="n">
        <x:f>IF(I215=1,G215,H215)</x:f>
        <x:v>0</x:v>
      </x:c>
      <x:c r="K215" s="19" t="n">
        <x:v>3</x:v>
      </x:c>
      <x:c r="L215" s="19" t="n">
        <x:f>K215+E215*0.5</x:f>
        <x:v>3</x:v>
      </x:c>
      <x:c r="M215" s="19" t="n">
        <x:f>D215+J215+F215*L215</x:f>
        <x:v>112</x:v>
      </x:c>
    </x:row>
    <x:row r="216" ht="25" customHeight="1">
      <x:c r="A216" s="10" t="str">
        <x:v>bula</x:v>
      </x:c>
      <x:c r="B216" s="10" t="str">
        <x:v>bula</x:v>
      </x:c>
      <x:c r="C216" s="10" t="str">
        <x:v>决心</x:v>
      </x:c>
      <x:c r="D216" s="23" t="n">
        <x:v>45</x:v>
      </x:c>
      <x:c r="E216" s="23" t="n">
        <x:v>1</x:v>
      </x:c>
      <x:c r="F216" s="23" t="n">
        <x:v>4</x:v>
      </x:c>
      <x:c r="G216" s="23" t="n">
        <x:v>4</x:v>
      </x:c>
      <x:c r="H216" s="23" t="n">
        <x:v>0</x:v>
      </x:c>
      <x:c r="I216" s="23" t="n">
        <x:v>1</x:v>
      </x:c>
      <x:c r="J216" s="19" t="n">
        <x:f>IF(I216=1,G216,H216)</x:f>
        <x:v>4</x:v>
      </x:c>
      <x:c r="K216" s="19" t="n">
        <x:v>3</x:v>
      </x:c>
      <x:c r="L216" s="19" t="n">
        <x:f>K216+E216*0.5</x:f>
        <x:v>3.5</x:v>
      </x:c>
      <x:c r="M216" s="19" t="n">
        <x:f>D216+J216+F216*L216</x:f>
        <x:v>63</x:v>
      </x:c>
    </x:row>
    <x:row r="217" ht="25" customHeight="1">
      <x:c r="A217" s="3" t="str">
        <x:v>bula</x:v>
      </x:c>
      <x:c r="B217" s="3" t="str">
        <x:v>bula</x:v>
      </x:c>
      <x:c r="C217" s="3" t="str">
        <x:v>先攻</x:v>
      </x:c>
      <x:c r="D217" s="23" t="n">
        <x:v>102</x:v>
      </x:c>
      <x:c r="E217" s="23" t="n">
        <x:v>0</x:v>
      </x:c>
      <x:c r="F217" s="23" t="n">
        <x:v>0</x:v>
      </x:c>
      <x:c r="G217" s="23" t="n">
        <x:v>0</x:v>
      </x:c>
      <x:c r="H217" s="23" t="n">
        <x:v>3</x:v>
      </x:c>
      <x:c r="I217" s="23" t="n">
        <x:v>1</x:v>
      </x:c>
      <x:c r="J217" s="19" t="n">
        <x:f>IF(I217=1,G217,H217)</x:f>
        <x:v>0</x:v>
      </x:c>
      <x:c r="K217" s="19" t="n">
        <x:v>4</x:v>
      </x:c>
      <x:c r="L217" s="19" t="n">
        <x:f>K217+E217*0.5</x:f>
        <x:v>4</x:v>
      </x:c>
      <x:c r="M217" s="19" t="n">
        <x:f>D217+J217+F217*L217</x:f>
        <x:v>102</x:v>
      </x:c>
    </x:row>
    <x:row r="218" ht="25" customHeight="1">
      <x:c r="A218" s="10" t="str">
        <x:v>bula</x:v>
      </x:c>
      <x:c r="B218" s="10" t="str">
        <x:v>bula</x:v>
      </x:c>
      <x:c r="C218" s="10" t="str">
        <x:v>近攻</x:v>
      </x:c>
      <x:c r="D218" s="23" t="n">
        <x:v>48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1</x:v>
      </x:c>
      <x:c r="J218" s="19" t="n">
        <x:f>IF(I218=1,G218,H218)</x:f>
        <x:v>0</x:v>
      </x:c>
      <x:c r="K218" s="19" t="n">
        <x:v>2</x:v>
      </x:c>
      <x:c r="L218" s="19" t="n">
        <x:f>K218+E218*0.5</x:f>
        <x:v>2</x:v>
      </x:c>
      <x:c r="M218" s="19" t="n">
        <x:f>D218+J218+F218*L218</x:f>
        <x:v>48</x:v>
      </x:c>
    </x:row>
    <x:row r="219" ht="25" customHeight="1">
      <x:c r="A219" s="3" t="str">
        <x:v>bula</x:v>
      </x:c>
      <x:c r="B219" s="3" t="str">
        <x:v>bula</x:v>
      </x:c>
      <x:c r="C219" s="3" t="str">
        <x:v>远攻</x:v>
      </x:c>
      <x:c r="D219" s="23" t="n">
        <x:v>53</x:v>
      </x:c>
      <x:c r="E219" s="23" t="n">
        <x:v>2</x:v>
      </x:c>
      <x:c r="F219" s="23" t="n">
        <x:v>10</x:v>
      </x:c>
      <x:c r="G219" s="23" t="n">
        <x:v>0</x:v>
      </x:c>
      <x:c r="H219" s="23" t="n">
        <x:v>0</x:v>
      </x:c>
      <x:c r="I219" s="23" t="n">
        <x:v>1</x:v>
      </x:c>
      <x:c r="J219" s="19" t="n">
        <x:f>IF(I219=1,G219,H219)</x:f>
        <x:v>0</x:v>
      </x:c>
      <x:c r="K219" s="19" t="n">
        <x:v>3</x:v>
      </x:c>
      <x:c r="L219" s="19" t="n">
        <x:f>K219+E219*0.5</x:f>
        <x:v>4</x:v>
      </x:c>
      <x:c r="M219" s="19" t="n">
        <x:f>D219+J219+F219*L219</x:f>
        <x:v>93</x:v>
      </x:c>
    </x:row>
    <x:row r="220" ht="25" customHeight="1">
      <x:c r="A220" s="10" t="str">
        <x:v>bula</x:v>
      </x:c>
      <x:c r="B220" s="10" t="str">
        <x:v>bula</x:v>
      </x:c>
      <x:c r="C220" s="10" t="str">
        <x:v>近防</x:v>
      </x:c>
      <x:c r="D220" s="23" t="n">
        <x:v>3</x:v>
      </x:c>
      <x:c r="E220" s="23" t="n">
        <x:v>0</x:v>
      </x:c>
      <x:c r="F220" s="23" t="n">
        <x:v>6</x:v>
      </x:c>
      <x:c r="G220" s="23" t="n">
        <x:v>2</x:v>
      </x:c>
      <x:c r="H220" s="23" t="n">
        <x:v>0</x:v>
      </x:c>
      <x:c r="I220" s="23" t="n">
        <x:v>1</x:v>
      </x:c>
      <x:c r="J220" s="19" t="n">
        <x:f>IF(I220=1,G220,H220)</x:f>
        <x:v>2</x:v>
      </x:c>
      <x:c r="K220" s="19" t="n">
        <x:v>2</x:v>
      </x:c>
      <x:c r="L220" s="19" t="n">
        <x:f>K220+E220*0.5</x:f>
        <x:v>2</x:v>
      </x:c>
      <x:c r="M220" s="19" t="n">
        <x:f>D220+J220+F220*L220</x:f>
        <x:v>17</x:v>
      </x:c>
    </x:row>
    <x:row r="221" ht="25" customHeight="1">
      <x:c r="A221" s="3" t="str">
        <x:v>bula</x:v>
      </x:c>
      <x:c r="B221" s="3" t="str">
        <x:v>bula</x:v>
      </x:c>
      <x:c r="C221" s="3" t="str">
        <x:v>远防</x:v>
      </x:c>
      <x:c r="D221" s="23" t="n">
        <x:v>5</x:v>
      </x:c>
      <x:c r="E221" s="23" t="n">
        <x:v>0</x:v>
      </x:c>
      <x:c r="F221" s="23" t="n">
        <x:v>0</x:v>
      </x:c>
      <x:c r="G221" s="23" t="n">
        <x:v>0</x:v>
      </x:c>
      <x:c r="H221" s="23" t="n">
        <x:v>3</x:v>
      </x:c>
      <x:c r="I221" s="23" t="n">
        <x:v>1</x:v>
      </x:c>
      <x:c r="J221" s="19" t="n">
        <x:f>IF(I221=1,G221,H221)</x:f>
        <x:v>0</x:v>
      </x:c>
      <x:c r="K221" s="19" t="n">
        <x:v>3</x:v>
      </x:c>
      <x:c r="L221" s="19" t="n">
        <x:f>K221+E221*0.5</x:f>
        <x:v>3</x:v>
      </x:c>
      <x:c r="M221" s="19" t="n">
        <x:f>D221+J221+F221*L221</x:f>
        <x:v>5</x:v>
      </x:c>
    </x:row>
    <x:row r="222" ht="25" customHeight="1">
      <x:c r="A222" s="10" t="str">
        <x:v>苏袜</x:v>
      </x:c>
      <x:c r="B222" s="10" t="str">
        <x:v>suwa</x:v>
      </x:c>
      <x:c r="C222" s="10" t="str">
        <x:v>生命</x:v>
      </x:c>
      <x:c r="D222" s="23" t="n">
        <x:v>54</x:v>
      </x:c>
      <x:c r="E222" s="23" t="n">
        <x:v>0</x:v>
      </x:c>
      <x:c r="F222" s="23" t="n">
        <x:v>5</x:v>
      </x:c>
      <x:c r="G222" s="23" t="n">
        <x:v>0</x:v>
      </x:c>
      <x:c r="H222" s="23" t="n">
        <x:v>0</x:v>
      </x:c>
      <x:c r="I222" s="23" t="n">
        <x:v>1</x:v>
      </x:c>
      <x:c r="J222" s="19" t="n">
        <x:f>IF(I222=1,G222,H222)</x:f>
        <x:v>0</x:v>
      </x:c>
      <x:c r="K222" s="19" t="n">
        <x:v>3</x:v>
      </x:c>
      <x:c r="L222" s="19" t="n">
        <x:f>K222+E222*0.5</x:f>
        <x:v>3</x:v>
      </x:c>
      <x:c r="M222" s="19" t="n">
        <x:f>D222+J222+F222*L222</x:f>
        <x:v>69</x:v>
      </x:c>
    </x:row>
    <x:row r="223" ht="25" customHeight="1">
      <x:c r="A223" s="3" t="str">
        <x:v>苏袜</x:v>
      </x:c>
      <x:c r="B223" s="3" t="str">
        <x:v>suwa</x:v>
      </x:c>
      <x:c r="C223" s="3" t="str">
        <x:v>疲劳上限</x:v>
      </x:c>
      <x:c r="D223" s="23" t="n">
        <x:v>102</x:v>
      </x:c>
      <x:c r="E223" s="23" t="n">
        <x:v>1</x:v>
      </x:c>
      <x:c r="F223" s="23" t="n">
        <x:v>0</x:v>
      </x:c>
      <x:c r="G223" s="23" t="n">
        <x:v>0</x:v>
      </x:c>
      <x:c r="H223" s="23" t="n">
        <x:v>5</x:v>
      </x:c>
      <x:c r="I223" s="23" t="n">
        <x:v>1</x:v>
      </x:c>
      <x:c r="J223" s="19" t="n">
        <x:f>IF(I223=1,G223,H223)</x:f>
        <x:v>0</x:v>
      </x:c>
      <x:c r="K223" s="19" t="n">
        <x:v>3</x:v>
      </x:c>
      <x:c r="L223" s="19" t="n">
        <x:f>K223+E223*0.5</x:f>
        <x:v>3.5</x:v>
      </x:c>
      <x:c r="M223" s="19" t="n">
        <x:f>D223+J223+F223*L223</x:f>
        <x:v>102</x:v>
      </x:c>
    </x:row>
    <x:row r="224" ht="25" customHeight="1">
      <x:c r="A224" s="10" t="str">
        <x:v>苏袜</x:v>
      </x:c>
      <x:c r="B224" s="10" t="str">
        <x:v>suwa</x:v>
      </x:c>
      <x:c r="C224" s="10" t="str">
        <x:v>决心</x:v>
      </x:c>
      <x:c r="D224" s="23" t="n">
        <x:v>41</x:v>
      </x:c>
      <x:c r="E224" s="23" t="n">
        <x:v>0</x:v>
      </x:c>
      <x:c r="F224" s="23" t="n">
        <x:v>3</x:v>
      </x:c>
      <x:c r="G224" s="23" t="n">
        <x:v>0</x:v>
      </x:c>
      <x:c r="H224" s="23" t="n">
        <x:v>2</x:v>
      </x:c>
      <x:c r="I224" s="23" t="n">
        <x:v>1</x:v>
      </x:c>
      <x:c r="J224" s="19" t="n">
        <x:f>IF(I224=1,G224,H224)</x:f>
        <x:v>0</x:v>
      </x:c>
      <x:c r="K224" s="19" t="n">
        <x:v>3</x:v>
      </x:c>
      <x:c r="L224" s="19" t="n">
        <x:f>K224+E224*0.5</x:f>
        <x:v>3</x:v>
      </x:c>
      <x:c r="M224" s="19" t="n">
        <x:f>D224+J224+F224*L224</x:f>
        <x:v>50</x:v>
      </x:c>
    </x:row>
    <x:row r="225" ht="25" customHeight="1">
      <x:c r="A225" s="3" t="str">
        <x:v>苏袜</x:v>
      </x:c>
      <x:c r="B225" s="3" t="str">
        <x:v>suwa</x:v>
      </x:c>
      <x:c r="C225" s="3" t="str">
        <x:v>先攻</x:v>
      </x:c>
      <x:c r="D225" s="23" t="n">
        <x:v>126</x:v>
      </x:c>
      <x:c r="E225" s="23" t="n">
        <x:v>3</x:v>
      </x:c>
      <x:c r="F225" s="23" t="n">
        <x:v>2</x:v>
      </x:c>
      <x:c r="G225" s="23" t="n">
        <x:v>6</x:v>
      </x:c>
      <x:c r="H225" s="23" t="n">
        <x:v>0</x:v>
      </x:c>
      <x:c r="I225" s="23" t="n">
        <x:v>1</x:v>
      </x:c>
      <x:c r="J225" s="19" t="n">
        <x:f>IF(I225=1,G225,H225)</x:f>
        <x:v>6</x:v>
      </x:c>
      <x:c r="K225" s="19" t="n">
        <x:v>4</x:v>
      </x:c>
      <x:c r="L225" s="19" t="n">
        <x:f>K225+E225*0.5</x:f>
        <x:v>5.5</x:v>
      </x:c>
      <x:c r="M225" s="19" t="n">
        <x:f>D225+J225+F225*L225</x:f>
        <x:v>143</x:v>
      </x:c>
    </x:row>
    <x:row r="226" ht="25" customHeight="1">
      <x:c r="A226" s="10" t="str">
        <x:v>苏袜</x:v>
      </x:c>
      <x:c r="B226" s="10" t="str">
        <x:v>suwa</x:v>
      </x:c>
      <x:c r="C226" s="10" t="str">
        <x:v>近攻</x:v>
      </x:c>
      <x:c r="D226" s="23" t="n">
        <x:v>56</x:v>
      </x:c>
      <x:c r="E226" s="23" t="n">
        <x:v>1</x:v>
      </x:c>
      <x:c r="F226" s="23" t="n">
        <x:v>10</x:v>
      </x:c>
      <x:c r="G226" s="23" t="n">
        <x:v>0</x:v>
      </x:c>
      <x:c r="H226" s="23" t="n">
        <x:v>0</x:v>
      </x:c>
      <x:c r="I226" s="23" t="n">
        <x:v>1</x:v>
      </x:c>
      <x:c r="J226" s="19" t="n">
        <x:f>IF(I226=1,G226,H226)</x:f>
        <x:v>0</x:v>
      </x:c>
      <x:c r="K226" s="19" t="n">
        <x:v>2</x:v>
      </x:c>
      <x:c r="L226" s="19" t="n">
        <x:f>K226+E226*0.5</x:f>
        <x:v>2.5</x:v>
      </x:c>
      <x:c r="M226" s="19" t="n">
        <x:f>D226+J226+F226*L226</x:f>
        <x:v>81</x:v>
      </x:c>
    </x:row>
    <x:row r="227" ht="25" customHeight="1">
      <x:c r="A227" s="3" t="str">
        <x:v>苏袜</x:v>
      </x:c>
      <x:c r="B227" s="3" t="str">
        <x:v>suwa</x:v>
      </x:c>
      <x:c r="C227" s="3" t="str">
        <x:v>远攻</x:v>
      </x:c>
      <x:c r="D227" s="23" t="n">
        <x:v>42</x:v>
      </x:c>
      <x:c r="E227" s="23" t="n">
        <x:v>0</x:v>
      </x:c>
      <x:c r="F227" s="23" t="n">
        <x:v>0</x:v>
      </x:c>
      <x:c r="G227" s="23" t="n">
        <x:v>0</x:v>
      </x:c>
      <x:c r="H227" s="23" t="n">
        <x:v>0</x:v>
      </x:c>
      <x:c r="I227" s="23" t="n">
        <x:v>1</x:v>
      </x:c>
      <x:c r="J227" s="19" t="n">
        <x:f>IF(I227=1,G227,H227)</x:f>
        <x:v>0</x:v>
      </x:c>
      <x:c r="K227" s="19" t="n">
        <x:v>3</x:v>
      </x:c>
      <x:c r="L227" s="19" t="n">
        <x:f>K227+E227*0.5</x:f>
        <x:v>3</x:v>
      </x:c>
      <x:c r="M227" s="19" t="n">
        <x:f>D227+J227+F227*L227</x:f>
        <x:v>42</x:v>
      </x:c>
    </x:row>
    <x:row r="228" ht="25" customHeight="1">
      <x:c r="A228" s="10" t="str">
        <x:v>苏袜</x:v>
      </x:c>
      <x:c r="B228" s="10" t="str">
        <x:v>suwa</x:v>
      </x:c>
      <x:c r="C228" s="10" t="str">
        <x:v>近防</x:v>
      </x:c>
      <x:c r="D228" s="23" t="n">
        <x:v>4</x:v>
      </x:c>
      <x:c r="E228" s="23" t="n">
        <x:v>0</x:v>
      </x:c>
      <x:c r="F228" s="23" t="n">
        <x:v>10</x:v>
      </x:c>
      <x:c r="G228" s="23" t="n">
        <x:v>0</x:v>
      </x:c>
      <x:c r="H228" s="23" t="n">
        <x:v>0</x:v>
      </x:c>
      <x:c r="I228" s="23" t="n">
        <x:v>1</x:v>
      </x:c>
      <x:c r="J228" s="19" t="n">
        <x:f>IF(I228=1,G228,H228)</x:f>
        <x:v>0</x:v>
      </x:c>
      <x:c r="K228" s="19" t="n">
        <x:v>2</x:v>
      </x:c>
      <x:c r="L228" s="19" t="n">
        <x:f>K228+E228*0.5</x:f>
        <x:v>2</x:v>
      </x:c>
      <x:c r="M228" s="19" t="n">
        <x:f>D228+J228+F228*L228</x:f>
        <x:v>24</x:v>
      </x:c>
    </x:row>
    <x:row r="229" ht="25" customHeight="1">
      <x:c r="A229" s="3" t="str">
        <x:v>苏袜</x:v>
      </x:c>
      <x:c r="B229" s="3" t="str">
        <x:v>suwa</x:v>
      </x:c>
      <x:c r="C229" s="3" t="str">
        <x:v>远防</x:v>
      </x:c>
      <x:c r="D229" s="23" t="n">
        <x:v>5</x:v>
      </x:c>
      <x:c r="E229" s="23" t="n">
        <x:v>0</x:v>
      </x:c>
      <x:c r="F229" s="23" t="n">
        <x:v>0</x:v>
      </x:c>
      <x:c r="G229" s="23" t="n">
        <x:v>0</x:v>
      </x:c>
      <x:c r="H229" s="23" t="n">
        <x:v>0</x:v>
      </x:c>
      <x:c r="I229" s="23" t="n">
        <x:v>1</x:v>
      </x:c>
      <x:c r="J229" s="19" t="n">
        <x:f>IF(I229=1,G229,H229)</x:f>
        <x:v>0</x:v>
      </x:c>
      <x:c r="K229" s="19" t="n">
        <x:v>3</x:v>
      </x:c>
      <x:c r="L229" s="19" t="n">
        <x:f>K229+E229*0.5</x:f>
        <x:v>3</x:v>
      </x:c>
      <x:c r="M229" s="19" t="n">
        <x:f>D229+J229+F229*L229</x:f>
        <x:v>5</x:v>
      </x:c>
    </x:row>
    <x:row r="230" ht="25" customHeight="1">
      <x:c r="A230" s="10" t="str">
        <x:v>千涵</x:v>
      </x:c>
      <x:c r="B230" s="10" t="str">
        <x:v>qianhan</x:v>
      </x:c>
      <x:c r="C230" s="10" t="str">
        <x:v>生命</x:v>
      </x:c>
      <x:c r="D230" s="23" t="n">
        <x:v>60</x:v>
      </x:c>
      <x:c r="E230" s="23" t="n">
        <x:v>0</x:v>
      </x:c>
      <x:c r="F230" s="23" t="n">
        <x:v>6</x:v>
      </x:c>
      <x:c r="G230" s="23" t="n">
        <x:v>0</x:v>
      </x:c>
      <x:c r="H230" s="23" t="n">
        <x:v>0</x:v>
      </x:c>
      <x:c r="I230" s="23" t="n">
        <x:v>1</x:v>
      </x:c>
      <x:c r="J230" s="19" t="n">
        <x:f>IF(I230=1,G230,H230)</x:f>
        <x:v>0</x:v>
      </x:c>
      <x:c r="K230" s="19" t="n">
        <x:v>3</x:v>
      </x:c>
      <x:c r="L230" s="19" t="n">
        <x:f>K230+E230*0.5</x:f>
        <x:v>3</x:v>
      </x:c>
      <x:c r="M230" s="19" t="n">
        <x:f>D230+J230+F230*L230</x:f>
        <x:v>78</x:v>
      </x:c>
    </x:row>
    <x:row r="231" ht="25" customHeight="1">
      <x:c r="A231" s="3" t="str">
        <x:v>千涵</x:v>
      </x:c>
      <x:c r="B231" s="3" t="str">
        <x:v>qianhan</x:v>
      </x:c>
      <x:c r="C231" s="3" t="str">
        <x:v>疲劳上限</x:v>
      </x:c>
      <x:c r="D231" s="23" t="n">
        <x:v>106</x:v>
      </x:c>
      <x:c r="E231" s="23" t="n">
        <x:v>1</x:v>
      </x:c>
      <x:c r="F231" s="23" t="n">
        <x:v>0</x:v>
      </x:c>
      <x:c r="G231" s="23" t="n">
        <x:v>0</x:v>
      </x:c>
      <x:c r="H231" s="23" t="n">
        <x:v>6</x:v>
      </x:c>
      <x:c r="I231" s="23" t="n">
        <x:v>1</x:v>
      </x:c>
      <x:c r="J231" s="19" t="n">
        <x:f>IF(I231=1,G231,H231)</x:f>
        <x:v>0</x:v>
      </x:c>
      <x:c r="K231" s="19" t="n">
        <x:v>3</x:v>
      </x:c>
      <x:c r="L231" s="19" t="n">
        <x:f>K231+E231*0.5</x:f>
        <x:v>3.5</x:v>
      </x:c>
      <x:c r="M231" s="19" t="n">
        <x:f>D231+J231+F231*L231</x:f>
        <x:v>106</x:v>
      </x:c>
    </x:row>
    <x:row r="232" ht="25" customHeight="1">
      <x:c r="A232" s="10" t="str">
        <x:v>千涵</x:v>
      </x:c>
      <x:c r="B232" s="10" t="str">
        <x:v>qianhan</x:v>
      </x:c>
      <x:c r="C232" s="10" t="str">
        <x:v>决心</x:v>
      </x:c>
      <x:c r="D232" s="23" t="n">
        <x:v>44</x:v>
      </x:c>
      <x:c r="E232" s="23" t="n">
        <x:v>0</x:v>
      </x:c>
      <x:c r="F232" s="23" t="n">
        <x:v>4</x:v>
      </x:c>
      <x:c r="G232" s="23" t="n">
        <x:v>0</x:v>
      </x:c>
      <x:c r="H232" s="23" t="n">
        <x:v>0</x:v>
      </x:c>
      <x:c r="I232" s="23" t="n">
        <x:v>1</x:v>
      </x:c>
      <x:c r="J232" s="19" t="n">
        <x:f>IF(I232=1,G232,H232)</x:f>
        <x:v>0</x:v>
      </x:c>
      <x:c r="K232" s="19" t="n">
        <x:v>3</x:v>
      </x:c>
      <x:c r="L232" s="19" t="n">
        <x:f>K232+E232*0.5</x:f>
        <x:v>3</x:v>
      </x:c>
      <x:c r="M232" s="19" t="n">
        <x:f>D232+J232+F232*L232</x:f>
        <x:v>56</x:v>
      </x:c>
    </x:row>
    <x:row r="233" ht="25" customHeight="1">
      <x:c r="A233" s="3" t="str">
        <x:v>千涵</x:v>
      </x:c>
      <x:c r="B233" s="3" t="str">
        <x:v>qianhan</x:v>
      </x:c>
      <x:c r="C233" s="3" t="str">
        <x:v>先攻</x:v>
      </x:c>
      <x:c r="D233" s="23" t="n">
        <x:v>113</x:v>
      </x:c>
      <x:c r="E233" s="23" t="n">
        <x:v>0</x:v>
      </x:c>
      <x:c r="F233" s="23" t="n">
        <x:v>0</x:v>
      </x:c>
      <x:c r="G233" s="23" t="n">
        <x:v>3</x:v>
      </x:c>
      <x:c r="H233" s="23" t="n">
        <x:v>0</x:v>
      </x:c>
      <x:c r="I233" s="23" t="n">
        <x:v>1</x:v>
      </x:c>
      <x:c r="J233" s="19" t="n">
        <x:f>IF(I233=1,G233,H233)</x:f>
        <x:v>3</x:v>
      </x:c>
      <x:c r="K233" s="19" t="n">
        <x:v>4</x:v>
      </x:c>
      <x:c r="L233" s="19" t="n">
        <x:f>K233+E233*0.5</x:f>
        <x:v>4</x:v>
      </x:c>
      <x:c r="M233" s="19" t="n">
        <x:f>D233+J233+F233*L233</x:f>
        <x:v>116</x:v>
      </x:c>
    </x:row>
    <x:row r="234" ht="25" customHeight="1">
      <x:c r="A234" s="10" t="str">
        <x:v>千涵</x:v>
      </x:c>
      <x:c r="B234" s="10" t="str">
        <x:v>qianhan</x:v>
      </x:c>
      <x:c r="C234" s="10" t="str">
        <x:v>近攻</x:v>
      </x:c>
      <x:c r="D234" s="23" t="n">
        <x:v>59</x:v>
      </x:c>
      <x:c r="E234" s="23" t="n">
        <x:v>2</x:v>
      </x:c>
      <x:c r="F234" s="23" t="n">
        <x:v>10</x:v>
      </x:c>
      <x:c r="G234" s="23" t="n">
        <x:v>3</x:v>
      </x:c>
      <x:c r="H234" s="23" t="n">
        <x:v>0</x:v>
      </x:c>
      <x:c r="I234" s="23" t="n">
        <x:v>1</x:v>
      </x:c>
      <x:c r="J234" s="19" t="n">
        <x:f>IF(I234=1,G234,H234)</x:f>
        <x:v>3</x:v>
      </x:c>
      <x:c r="K234" s="19" t="n">
        <x:v>2</x:v>
      </x:c>
      <x:c r="L234" s="19" t="n">
        <x:f>K234+E234*0.5</x:f>
        <x:v>3</x:v>
      </x:c>
      <x:c r="M234" s="19" t="n">
        <x:f>D234+J234+F234*L234</x:f>
        <x:v>92</x:v>
      </x:c>
    </x:row>
    <x:row r="235" ht="25" customHeight="1">
      <x:c r="A235" s="3" t="str">
        <x:v>千涵</x:v>
      </x:c>
      <x:c r="B235" s="3" t="str">
        <x:v>qianhan</x:v>
      </x:c>
      <x:c r="C235" s="3" t="str">
        <x:v>远攻</x:v>
      </x:c>
      <x:c r="D235" s="23" t="n">
        <x:v>32</x:v>
      </x:c>
      <x:c r="E235" s="23" t="n">
        <x:v>0</x:v>
      </x:c>
      <x:c r="F235" s="23" t="n">
        <x:v>0</x:v>
      </x:c>
      <x:c r="G235" s="23" t="n">
        <x:v>0</x:v>
      </x:c>
      <x:c r="H235" s="23" t="n">
        <x:v>0</x:v>
      </x:c>
      <x:c r="I235" s="23" t="n">
        <x:v>1</x:v>
      </x:c>
      <x:c r="J235" s="19" t="n">
        <x:f>IF(I235=1,G235,H235)</x:f>
        <x:v>0</x:v>
      </x:c>
      <x:c r="K235" s="19" t="n">
        <x:v>3</x:v>
      </x:c>
      <x:c r="L235" s="19" t="n">
        <x:f>K235+E235*0.5</x:f>
        <x:v>3</x:v>
      </x:c>
      <x:c r="M235" s="19" t="n">
        <x:f>D235+J235+F235*L235</x:f>
        <x:v>32</x:v>
      </x:c>
    </x:row>
    <x:row r="236" ht="25" customHeight="1">
      <x:c r="A236" s="10" t="str">
        <x:v>千涵</x:v>
      </x:c>
      <x:c r="B236" s="10" t="str">
        <x:v>qianhan</x:v>
      </x:c>
      <x:c r="C236" s="10" t="str">
        <x:v>近防</x:v>
      </x:c>
      <x:c r="D236" s="23" t="n">
        <x:v>6</x:v>
      </x:c>
      <x:c r="E236" s="23" t="n">
        <x:v>1</x:v>
      </x:c>
      <x:c r="F236" s="23" t="n">
        <x:v>10</x:v>
      </x:c>
      <x:c r="G236" s="23" t="n">
        <x:v>0</x:v>
      </x:c>
      <x:c r="H236" s="23" t="n">
        <x:v>0</x:v>
      </x:c>
      <x:c r="I236" s="23" t="n">
        <x:v>1</x:v>
      </x:c>
      <x:c r="J236" s="19" t="n">
        <x:f>IF(I236=1,G236,H236)</x:f>
        <x:v>0</x:v>
      </x:c>
      <x:c r="K236" s="19" t="n">
        <x:v>2</x:v>
      </x:c>
      <x:c r="L236" s="19" t="n">
        <x:f>K236+E236*0.5</x:f>
        <x:v>2.5</x:v>
      </x:c>
      <x:c r="M236" s="19" t="n">
        <x:f>D236+J236+F236*L236</x:f>
        <x:v>31</x:v>
      </x:c>
    </x:row>
    <x:row r="237" ht="25" customHeight="1">
      <x:c r="A237" s="3" t="str">
        <x:v>千涵</x:v>
      </x:c>
      <x:c r="B237" s="3" t="str">
        <x:v>qianhan</x:v>
      </x:c>
      <x:c r="C237" s="3" t="str">
        <x:v>远防</x:v>
      </x:c>
      <x:c r="D237" s="23" t="n">
        <x:v>3</x:v>
      </x:c>
      <x:c r="E237" s="23" t="n">
        <x:v>0</x:v>
      </x:c>
      <x:c r="F237" s="23" t="n">
        <x:v>0</x:v>
      </x:c>
      <x:c r="G237" s="23" t="n">
        <x:v>0</x:v>
      </x:c>
      <x:c r="H237" s="23" t="n">
        <x:v>0</x:v>
      </x:c>
      <x:c r="I237" s="23" t="n">
        <x:v>1</x:v>
      </x:c>
      <x:c r="J237" s="19" t="n">
        <x:f>IF(I237=1,G237,H237)</x:f>
        <x:v>0</x:v>
      </x:c>
      <x:c r="K237" s="19" t="n">
        <x:v>3</x:v>
      </x:c>
      <x:c r="L237" s="19" t="n">
        <x:f>K237+E237*0.5</x:f>
        <x:v>3</x:v>
      </x:c>
      <x:c r="M237" s="19" t="n">
        <x:f>D237+J237+F237*L237</x:f>
        <x:v>3</x:v>
      </x:c>
    </x:row>
    <x:row r="238" ht="25" customHeight="1">
      <x:c r="A238" s="10" t="str">
        <x:v>王大芷</x:v>
      </x:c>
      <x:c r="B238" s="10" t="str">
        <x:v>wangdazhi</x:v>
      </x:c>
      <x:c r="C238" s="10" t="str">
        <x:v>生命</x:v>
      </x:c>
      <x:c r="D238" s="23" t="n">
        <x:v>63</x:v>
      </x:c>
      <x:c r="E238" s="23" t="n">
        <x:v>0</x:v>
      </x:c>
      <x:c r="F238" s="23" t="n">
        <x:v>8</x:v>
      </x:c>
      <x:c r="G238" s="23" t="n">
        <x:v>0</x:v>
      </x:c>
      <x:c r="H238" s="23" t="n">
        <x:v>0</x:v>
      </x:c>
      <x:c r="I238" s="23" t="n">
        <x:v>1</x:v>
      </x:c>
      <x:c r="J238" s="19" t="n">
        <x:f>IF(I238=1,G238,H238)</x:f>
        <x:v>0</x:v>
      </x:c>
      <x:c r="K238" s="19" t="n">
        <x:v>3</x:v>
      </x:c>
      <x:c r="L238" s="19" t="n">
        <x:f>K238+E238*0.5</x:f>
        <x:v>3</x:v>
      </x:c>
      <x:c r="M238" s="19" t="n">
        <x:f>D238+J238+F238*L238</x:f>
        <x:v>87</x:v>
      </x:c>
    </x:row>
    <x:row r="239" ht="25" customHeight="1">
      <x:c r="A239" s="3" t="str">
        <x:v>王大芷</x:v>
      </x:c>
      <x:c r="B239" s="3" t="str">
        <x:v>wangdazhi</x:v>
      </x:c>
      <x:c r="C239" s="3" t="str">
        <x:v>疲劳上限</x:v>
      </x:c>
      <x:c r="D239" s="23" t="n">
        <x:v>108</x:v>
      </x:c>
      <x:c r="E239" s="23" t="n">
        <x:v>1</x:v>
      </x:c>
      <x:c r="F239" s="23" t="n">
        <x:v>5</x:v>
      </x:c>
      <x:c r="G239" s="23" t="n">
        <x:v>0</x:v>
      </x:c>
      <x:c r="H239" s="23" t="n">
        <x:v>3</x:v>
      </x:c>
      <x:c r="I239" s="23" t="n">
        <x:v>1</x:v>
      </x:c>
      <x:c r="J239" s="19" t="n">
        <x:f>IF(I239=1,G239,H239)</x:f>
        <x:v>0</x:v>
      </x:c>
      <x:c r="K239" s="19" t="n">
        <x:v>3</x:v>
      </x:c>
      <x:c r="L239" s="19" t="n">
        <x:f>K239+E239*0.5</x:f>
        <x:v>3.5</x:v>
      </x:c>
      <x:c r="M239" s="19" t="n">
        <x:f>D239+J239+F239*L239</x:f>
        <x:v>125.5</x:v>
      </x:c>
    </x:row>
    <x:row r="240" ht="25" customHeight="1">
      <x:c r="A240" s="10" t="str">
        <x:v>王大芷</x:v>
      </x:c>
      <x:c r="B240" s="10" t="str">
        <x:v>wangdazhi</x:v>
      </x:c>
      <x:c r="C240" s="10" t="str">
        <x:v>决心</x:v>
      </x:c>
      <x:c r="D240" s="23" t="n">
        <x:v>48</x:v>
      </x:c>
      <x:c r="E240" s="23" t="n">
        <x:v>1</x:v>
      </x:c>
      <x:c r="F240" s="23" t="n">
        <x:v>7</x:v>
      </x:c>
      <x:c r="G240" s="23" t="n">
        <x:v>4</x:v>
      </x:c>
      <x:c r="H240" s="23" t="n">
        <x:v>0</x:v>
      </x:c>
      <x:c r="I240" s="23" t="n">
        <x:v>1</x:v>
      </x:c>
      <x:c r="J240" s="19" t="n">
        <x:f>IF(I240=1,G240,H240)</x:f>
        <x:v>4</x:v>
      </x:c>
      <x:c r="K240" s="19" t="n">
        <x:v>3</x:v>
      </x:c>
      <x:c r="L240" s="19" t="n">
        <x:f>K240+E240*0.5</x:f>
        <x:v>3.5</x:v>
      </x:c>
      <x:c r="M240" s="19" t="n">
        <x:f>D240+J240+F240*L240</x:f>
        <x:v>76.5</x:v>
      </x:c>
    </x:row>
    <x:row r="241" ht="25" customHeight="1">
      <x:c r="A241" s="3" t="str">
        <x:v>王大芷</x:v>
      </x:c>
      <x:c r="B241" s="3" t="str">
        <x:v>wangdazhi</x:v>
      </x:c>
      <x:c r="C241" s="3" t="str">
        <x:v>先攻</x:v>
      </x:c>
      <x:c r="D241" s="23" t="n">
        <x:v>94</x:v>
      </x:c>
      <x:c r="E241" s="23" t="n">
        <x:v>0</x:v>
      </x:c>
      <x:c r="F241" s="23" t="n">
        <x:v>0</x:v>
      </x:c>
      <x:c r="G241" s="23" t="n">
        <x:v>3</x:v>
      </x:c>
      <x:c r="H241" s="23" t="n">
        <x:v>0</x:v>
      </x:c>
      <x:c r="I241" s="23" t="n">
        <x:v>1</x:v>
      </x:c>
      <x:c r="J241" s="19" t="n">
        <x:f>IF(I241=1,G241,H241)</x:f>
        <x:v>3</x:v>
      </x:c>
      <x:c r="K241" s="19" t="n">
        <x:v>4</x:v>
      </x:c>
      <x:c r="L241" s="19" t="n">
        <x:f>K241+E241*0.5</x:f>
        <x:v>4</x:v>
      </x:c>
      <x:c r="M241" s="19" t="n">
        <x:f>D241+J241+F241*L241</x:f>
        <x:v>97</x:v>
      </x:c>
    </x:row>
    <x:row r="242" ht="25" customHeight="1">
      <x:c r="A242" s="10" t="str">
        <x:v>王大芷</x:v>
      </x:c>
      <x:c r="B242" s="10" t="str">
        <x:v>wangdazhi</x:v>
      </x:c>
      <x:c r="C242" s="10" t="str">
        <x:v>近攻</x:v>
      </x:c>
      <x:c r="D242" s="23" t="n">
        <x:v>55</x:v>
      </x:c>
      <x:c r="E242" s="23" t="n">
        <x:v>0</x:v>
      </x:c>
      <x:c r="F242" s="23" t="n">
        <x:v>0</x:v>
      </x:c>
      <x:c r="G242" s="23" t="n">
        <x:v>0</x:v>
      </x:c>
      <x:c r="H242" s="23" t="n">
        <x:v>0</x:v>
      </x:c>
      <x:c r="I242" s="23" t="n">
        <x:v>1</x:v>
      </x:c>
      <x:c r="J242" s="19" t="n">
        <x:f>IF(I242=1,G242,H242)</x:f>
        <x:v>0</x:v>
      </x:c>
      <x:c r="K242" s="19" t="n">
        <x:v>2</x:v>
      </x:c>
      <x:c r="L242" s="19" t="n">
        <x:f>K242+E242*0.5</x:f>
        <x:v>2</x:v>
      </x:c>
      <x:c r="M242" s="19" t="n">
        <x:f>D242+J242+F242*L242</x:f>
        <x:v>55</x:v>
      </x:c>
    </x:row>
    <x:row r="243" ht="25" customHeight="1">
      <x:c r="A243" s="3" t="str">
        <x:v>王大芷</x:v>
      </x:c>
      <x:c r="B243" s="3" t="str">
        <x:v>wangdazhi</x:v>
      </x:c>
      <x:c r="C243" s="3" t="str">
        <x:v>远攻</x:v>
      </x:c>
      <x:c r="D243" s="23" t="n">
        <x:v>30</x:v>
      </x:c>
      <x:c r="E243" s="23" t="n">
        <x:v>0</x:v>
      </x:c>
      <x:c r="F243" s="23" t="n">
        <x:v>0</x:v>
      </x:c>
      <x:c r="G243" s="23" t="n">
        <x:v>0</x:v>
      </x:c>
      <x:c r="H243" s="23" t="n">
        <x:v>0</x:v>
      </x:c>
      <x:c r="I243" s="23" t="n">
        <x:v>1</x:v>
      </x:c>
      <x:c r="J243" s="19" t="n">
        <x:f>IF(I243=1,G243,H243)</x:f>
        <x:v>0</x:v>
      </x:c>
      <x:c r="K243" s="19" t="n">
        <x:v>3</x:v>
      </x:c>
      <x:c r="L243" s="19" t="n">
        <x:f>K243+E243*0.5</x:f>
        <x:v>3</x:v>
      </x:c>
      <x:c r="M243" s="19" t="n">
        <x:f>D243+J243+F243*L243</x:f>
        <x:v>30</x:v>
      </x:c>
    </x:row>
    <x:row r="244" ht="25" customHeight="1">
      <x:c r="A244" s="10" t="str">
        <x:v>王大芷</x:v>
      </x:c>
      <x:c r="B244" s="10" t="str">
        <x:v>wangdazhi</x:v>
      </x:c>
      <x:c r="C244" s="10" t="str">
        <x:v>近防</x:v>
      </x:c>
      <x:c r="D244" s="23" t="n">
        <x:v>8</x:v>
      </x:c>
      <x:c r="E244" s="23" t="n">
        <x:v>2</x:v>
      </x:c>
      <x:c r="F244" s="23" t="n">
        <x:v>10</x:v>
      </x:c>
      <x:c r="G244" s="23" t="n">
        <x:v>0</x:v>
      </x:c>
      <x:c r="H244" s="23" t="n">
        <x:v>3</x:v>
      </x:c>
      <x:c r="I244" s="23" t="n">
        <x:v>1</x:v>
      </x:c>
      <x:c r="J244" s="19" t="n">
        <x:f>IF(I244=1,G244,H244)</x:f>
        <x:v>0</x:v>
      </x:c>
      <x:c r="K244" s="19" t="n">
        <x:v>2</x:v>
      </x:c>
      <x:c r="L244" s="19" t="n">
        <x:f>K244+E244*0.5</x:f>
        <x:v>3</x:v>
      </x:c>
      <x:c r="M244" s="19" t="n">
        <x:f>D244+J244+F244*L244</x:f>
        <x:v>38</x:v>
      </x:c>
    </x:row>
    <x:row r="245" ht="25" customHeight="1">
      <x:c r="A245" s="3" t="str">
        <x:v>王大芷</x:v>
      </x:c>
      <x:c r="B245" s="3" t="str">
        <x:v>wangdazhi</x:v>
      </x:c>
      <x:c r="C245" s="3" t="str">
        <x:v>远防</x:v>
      </x:c>
      <x:c r="D245" s="23" t="n">
        <x:v>3</x:v>
      </x:c>
      <x:c r="E245" s="23" t="n">
        <x:v>0</x:v>
      </x:c>
      <x:c r="F245" s="23" t="n">
        <x:v>0</x:v>
      </x:c>
      <x:c r="G245" s="23" t="n">
        <x:v>0</x:v>
      </x:c>
      <x:c r="H245" s="23" t="n">
        <x:v>0</x:v>
      </x:c>
      <x:c r="I245" s="23" t="n">
        <x:v>1</x:v>
      </x:c>
      <x:c r="J245" s="19" t="n">
        <x:f>IF(I245=1,G245,H245)</x:f>
        <x:v>0</x:v>
      </x:c>
      <x:c r="K245" s="19" t="n">
        <x:v>3</x:v>
      </x:c>
      <x:c r="L245" s="19" t="n">
        <x:f>K245+E245*0.5</x:f>
        <x:v>3</x:v>
      </x:c>
      <x:c r="M245" s="19" t="n">
        <x:f>D245+J245+F245*L245</x:f>
        <x:v>3</x:v>
      </x:c>
    </x:row>
    <x:row r="246" ht="25" customHeight="1">
      <x:c r="A246" s="10" t="str">
        <x:v>瑶瑶牙</x:v>
      </x:c>
      <x:c r="B246" s="10" t="str">
        <x:v>yaoyaoya</x:v>
      </x:c>
      <x:c r="C246" s="10" t="str">
        <x:v>生命</x:v>
      </x:c>
      <x:c r="D246" s="23" t="n">
        <x:v>64</x:v>
      </x:c>
      <x:c r="E246" s="23" t="n">
        <x:v>0</x:v>
      </x:c>
      <x:c r="F246" s="23" t="n">
        <x:v>4</x:v>
      </x:c>
      <x:c r="G246" s="23" t="n">
        <x:v>0</x:v>
      </x:c>
      <x:c r="H246" s="23" t="n">
        <x:v>0</x:v>
      </x:c>
      <x:c r="I246" s="23" t="n">
        <x:v>1</x:v>
      </x:c>
      <x:c r="J246" s="19" t="n">
        <x:f>IF(I246=1,G246,H246)</x:f>
        <x:v>0</x:v>
      </x:c>
      <x:c r="K246" s="19" t="n">
        <x:v>3</x:v>
      </x:c>
      <x:c r="L246" s="19" t="n">
        <x:f>K246+E246*0.5</x:f>
        <x:v>3</x:v>
      </x:c>
      <x:c r="M246" s="19" t="n">
        <x:f>D246+J246+F246*L246</x:f>
        <x:v>76</x:v>
      </x:c>
    </x:row>
    <x:row r="247" ht="25" customHeight="1">
      <x:c r="A247" s="3" t="str">
        <x:v>瑶瑶牙</x:v>
      </x:c>
      <x:c r="B247" s="3" t="str">
        <x:v>yaoyaoya</x:v>
      </x:c>
      <x:c r="C247" s="3" t="str">
        <x:v>疲劳上限</x:v>
      </x:c>
      <x:c r="D247" s="23" t="n">
        <x:v>113</x:v>
      </x:c>
      <x:c r="E247" s="23" t="n">
        <x:v>2</x:v>
      </x:c>
      <x:c r="F247" s="23" t="n">
        <x:v>4</x:v>
      </x:c>
      <x:c r="G247" s="23" t="n">
        <x:v>0</x:v>
      </x:c>
      <x:c r="H247" s="23" t="n">
        <x:v>5</x:v>
      </x:c>
      <x:c r="I247" s="23" t="n">
        <x:v>1</x:v>
      </x:c>
      <x:c r="J247" s="19" t="n">
        <x:f>IF(I247=1,G247,H247)</x:f>
        <x:v>0</x:v>
      </x:c>
      <x:c r="K247" s="19" t="n">
        <x:v>3</x:v>
      </x:c>
      <x:c r="L247" s="19" t="n">
        <x:f>K247+E247*0.5</x:f>
        <x:v>4</x:v>
      </x:c>
      <x:c r="M247" s="19" t="n">
        <x:f>D247+J247+F247*L247</x:f>
        <x:v>129</x:v>
      </x:c>
    </x:row>
    <x:row r="248" ht="25" customHeight="1">
      <x:c r="A248" s="10" t="str">
        <x:v>瑶瑶牙</x:v>
      </x:c>
      <x:c r="B248" s="10" t="str">
        <x:v>yaoyaoya</x:v>
      </x:c>
      <x:c r="C248" s="10" t="str">
        <x:v>决心</x:v>
      </x:c>
      <x:c r="D248" s="23" t="n">
        <x:v>42</x:v>
      </x:c>
      <x:c r="E248" s="23" t="n">
        <x:v>0</x:v>
      </x:c>
      <x:c r="F248" s="23" t="n">
        <x:v>2</x:v>
      </x:c>
      <x:c r="G248" s="23" t="n">
        <x:v>0</x:v>
      </x:c>
      <x:c r="H248" s="23" t="n">
        <x:v>0</x:v>
      </x:c>
      <x:c r="I248" s="23" t="n">
        <x:v>1</x:v>
      </x:c>
      <x:c r="J248" s="19" t="n">
        <x:f>IF(I248=1,G248,H248)</x:f>
        <x:v>0</x:v>
      </x:c>
      <x:c r="K248" s="19" t="n">
        <x:v>3</x:v>
      </x:c>
      <x:c r="L248" s="19" t="n">
        <x:f>K248+E248*0.5</x:f>
        <x:v>3</x:v>
      </x:c>
      <x:c r="M248" s="19" t="n">
        <x:f>D248+J248+F248*L248</x:f>
        <x:v>48</x:v>
      </x:c>
    </x:row>
    <x:row r="249" ht="25" customHeight="1">
      <x:c r="A249" s="3" t="str">
        <x:v>瑶瑶牙</x:v>
      </x:c>
      <x:c r="B249" s="3" t="str">
        <x:v>yaoyaoya</x:v>
      </x:c>
      <x:c r="C249" s="3" t="str">
        <x:v>先攻</x:v>
      </x:c>
      <x:c r="D249" s="23" t="n">
        <x:v>84</x:v>
      </x:c>
      <x:c r="E249" s="23" t="n">
        <x:v>0</x:v>
      </x:c>
      <x:c r="F249" s="23" t="n">
        <x:v>0</x:v>
      </x:c>
      <x:c r="G249" s="23" t="n">
        <x:v>0</x:v>
      </x:c>
      <x:c r="H249" s="23" t="n">
        <x:v>0</x:v>
      </x:c>
      <x:c r="I249" s="23" t="n">
        <x:v>1</x:v>
      </x:c>
      <x:c r="J249" s="19" t="n">
        <x:f>IF(I249=1,G249,H249)</x:f>
        <x:v>0</x:v>
      </x:c>
      <x:c r="K249" s="19" t="n">
        <x:v>4</x:v>
      </x:c>
      <x:c r="L249" s="19" t="n">
        <x:f>K249+E249*0.5</x:f>
        <x:v>4</x:v>
      </x:c>
      <x:c r="M249" s="19" t="n">
        <x:f>D249+J249+F249*L249</x:f>
        <x:v>84</x:v>
      </x:c>
    </x:row>
    <x:row r="250" ht="25" customHeight="1">
      <x:c r="A250" s="10" t="str">
        <x:v>瑶瑶牙</x:v>
      </x:c>
      <x:c r="B250" s="10" t="str">
        <x:v>yaoyaoya</x:v>
      </x:c>
      <x:c r="C250" s="10" t="str">
        <x:v>近攻</x:v>
      </x:c>
      <x:c r="D250" s="23" t="n">
        <x:v>60</x:v>
      </x:c>
      <x:c r="E250" s="23" t="n">
        <x:v>2</x:v>
      </x:c>
      <x:c r="F250" s="23" t="n">
        <x:v>10</x:v>
      </x:c>
      <x:c r="G250" s="23" t="n">
        <x:v>4</x:v>
      </x:c>
      <x:c r="H250" s="23" t="n">
        <x:v>0</x:v>
      </x:c>
      <x:c r="I250" s="23" t="n">
        <x:v>1</x:v>
      </x:c>
      <x:c r="J250" s="19" t="n">
        <x:f>IF(I250=1,G250,H250)</x:f>
        <x:v>4</x:v>
      </x:c>
      <x:c r="K250" s="19" t="n">
        <x:v>2</x:v>
      </x:c>
      <x:c r="L250" s="19" t="n">
        <x:f>K250+E250*0.5</x:f>
        <x:v>3</x:v>
      </x:c>
      <x:c r="M250" s="19" t="n">
        <x:f>D250+J250+F250*L250</x:f>
        <x:v>94</x:v>
      </x:c>
    </x:row>
    <x:row r="251" ht="25" customHeight="1">
      <x:c r="A251" s="3" t="str">
        <x:v>瑶瑶牙</x:v>
      </x:c>
      <x:c r="B251" s="3" t="str">
        <x:v>yaoyaoya</x:v>
      </x:c>
      <x:c r="C251" s="3" t="str">
        <x:v>远攻</x:v>
      </x:c>
      <x:c r="D251" s="23" t="n">
        <x:v>28</x:v>
      </x:c>
      <x:c r="E251" s="23" t="n">
        <x:v>0</x:v>
      </x:c>
      <x:c r="F251" s="23" t="n">
        <x:v>0</x:v>
      </x:c>
      <x:c r="G251" s="23" t="n">
        <x:v>0</x:v>
      </x:c>
      <x:c r="H251" s="23" t="n">
        <x:v>0</x:v>
      </x:c>
      <x:c r="I251" s="23" t="n">
        <x:v>1</x:v>
      </x:c>
      <x:c r="J251" s="19" t="n">
        <x:f>IF(I251=1,G251,H251)</x:f>
        <x:v>0</x:v>
      </x:c>
      <x:c r="K251" s="19" t="n">
        <x:v>3</x:v>
      </x:c>
      <x:c r="L251" s="19" t="n">
        <x:f>K251+E251*0.5</x:f>
        <x:v>3</x:v>
      </x:c>
      <x:c r="M251" s="19" t="n">
        <x:f>D251+J251+F251*L251</x:f>
        <x:v>28</x:v>
      </x:c>
    </x:row>
    <x:row r="252" ht="25" customHeight="1">
      <x:c r="A252" s="10" t="str">
        <x:v>瑶瑶牙</x:v>
      </x:c>
      <x:c r="B252" s="10" t="str">
        <x:v>yaoyaoya</x:v>
      </x:c>
      <x:c r="C252" s="10" t="str">
        <x:v>近防</x:v>
      </x:c>
      <x:c r="D252" s="23" t="n">
        <x:v>4</x:v>
      </x:c>
      <x:c r="E252" s="23" t="n">
        <x:v>1</x:v>
      </x:c>
      <x:c r="F252" s="23" t="n">
        <x:v>10</x:v>
      </x:c>
      <x:c r="G252" s="23" t="n">
        <x:v>0</x:v>
      </x:c>
      <x:c r="H252" s="23" t="n">
        <x:v>2</x:v>
      </x:c>
      <x:c r="I252" s="23" t="n">
        <x:v>1</x:v>
      </x:c>
      <x:c r="J252" s="19" t="n">
        <x:f>IF(I252=1,G252,H252)</x:f>
        <x:v>0</x:v>
      </x:c>
      <x:c r="K252" s="19" t="n">
        <x:v>2</x:v>
      </x:c>
      <x:c r="L252" s="19" t="n">
        <x:f>K252+E252*0.5</x:f>
        <x:v>2.5</x:v>
      </x:c>
      <x:c r="M252" s="19" t="n">
        <x:f>D252+J252+F252*L252</x:f>
        <x:v>29</x:v>
      </x:c>
    </x:row>
    <x:row r="253" ht="25" customHeight="1">
      <x:c r="A253" s="3" t="str">
        <x:v>瑶瑶牙</x:v>
      </x:c>
      <x:c r="B253" s="3" t="str">
        <x:v>yaoyaoya</x:v>
      </x:c>
      <x:c r="C253" s="3" t="str">
        <x:v>远防</x:v>
      </x:c>
      <x:c r="D253" s="23" t="n">
        <x:v>0</x:v>
      </x:c>
      <x:c r="E253" s="23" t="n">
        <x:v>0</x:v>
      </x:c>
      <x:c r="F253" s="23" t="n">
        <x:v>0</x:v>
      </x:c>
      <x:c r="G253" s="23" t="n">
        <x:v>0</x:v>
      </x:c>
      <x:c r="H253" s="23" t="n">
        <x:v>0</x:v>
      </x:c>
      <x:c r="I253" s="23" t="n">
        <x:v>1</x:v>
      </x:c>
      <x:c r="J253" s="19" t="n">
        <x:f>IF(I253=1,G253,H253)</x:f>
        <x:v>0</x:v>
      </x:c>
      <x:c r="K253" s="19" t="n">
        <x:v>3</x:v>
      </x:c>
      <x:c r="L253" s="19" t="n">
        <x:f>K253+E253*0.5</x:f>
        <x:v>3</x:v>
      </x:c>
      <x:c r="M253" s="19" t="n">
        <x:f>D253+J253+F253*L253</x:f>
        <x:v>0</x:v>
      </x:c>
    </x:row>
    <x:row r="254" ht="25" customHeight="1">
      <x:c r="A254" s="10" t="str">
        <x:v>羊咩咩</x:v>
      </x:c>
      <x:c r="B254" s="10" t="str">
        <x:v>yangmiemie</x:v>
      </x:c>
      <x:c r="C254" s="10" t="str">
        <x:v>生命</x:v>
      </x:c>
      <x:c r="D254" s="23" t="n">
        <x:v>66</x:v>
      </x:c>
      <x:c r="E254" s="23" t="n">
        <x:v>2</x:v>
      </x:c>
      <x:c r="F254" s="23" t="n">
        <x:v>8</x:v>
      </x:c>
      <x:c r="G254" s="23" t="n">
        <x:v>0</x:v>
      </x:c>
      <x:c r="H254" s="23" t="n">
        <x:v>3</x:v>
      </x:c>
      <x:c r="I254" s="23" t="n">
        <x:v>1</x:v>
      </x:c>
      <x:c r="J254" s="19" t="n">
        <x:f>IF(I254=1,G254,H254)</x:f>
        <x:v>0</x:v>
      </x:c>
      <x:c r="K254" s="19" t="n">
        <x:v>3</x:v>
      </x:c>
      <x:c r="L254" s="19" t="n">
        <x:f>K254+E254*0.5</x:f>
        <x:v>4</x:v>
      </x:c>
      <x:c r="M254" s="19" t="n">
        <x:f>D254+J254+F254*L254</x:f>
        <x:v>98</x:v>
      </x:c>
    </x:row>
    <x:row r="255" ht="25" customHeight="1">
      <x:c r="A255" s="3" t="str">
        <x:v>羊咩咩</x:v>
      </x:c>
      <x:c r="B255" s="3" t="str">
        <x:v>yangmiemie</x:v>
      </x:c>
      <x:c r="C255" s="3" t="str">
        <x:v>疲劳上限</x:v>
      </x:c>
      <x:c r="D255" s="23" t="n">
        <x:v>105</x:v>
      </x:c>
      <x:c r="E255" s="23" t="n">
        <x:v>0</x:v>
      </x:c>
      <x:c r="F255" s="23" t="n">
        <x:v>4</x:v>
      </x:c>
      <x:c r="G255" s="23" t="n">
        <x:v>0</x:v>
      </x:c>
      <x:c r="H255" s="23" t="n">
        <x:v>5</x:v>
      </x:c>
      <x:c r="I255" s="23" t="n">
        <x:v>1</x:v>
      </x:c>
      <x:c r="J255" s="19" t="n">
        <x:f>IF(I255=1,G255,H255)</x:f>
        <x:v>0</x:v>
      </x:c>
      <x:c r="K255" s="19" t="n">
        <x:v>3</x:v>
      </x:c>
      <x:c r="L255" s="19" t="n">
        <x:f>K255+E255*0.5</x:f>
        <x:v>3</x:v>
      </x:c>
      <x:c r="M255" s="19" t="n">
        <x:f>D255+J255+F255*L255</x:f>
        <x:v>117</x:v>
      </x:c>
    </x:row>
    <x:row r="256" ht="25" customHeight="1">
      <x:c r="A256" s="10" t="str">
        <x:v>羊咩咩</x:v>
      </x:c>
      <x:c r="B256" s="10" t="str">
        <x:v>yangmiemie</x:v>
      </x:c>
      <x:c r="C256" s="10" t="str">
        <x:v>决心</x:v>
      </x:c>
      <x:c r="D256" s="23" t="n">
        <x:v>45</x:v>
      </x:c>
      <x:c r="E256" s="23" t="n">
        <x:v>1</x:v>
      </x:c>
      <x:c r="F256" s="23" t="n">
        <x:v>6</x:v>
      </x:c>
      <x:c r="G256" s="23" t="n">
        <x:v>0</x:v>
      </x:c>
      <x:c r="H256" s="23" t="n">
        <x:v>0</x:v>
      </x:c>
      <x:c r="I256" s="23" t="n">
        <x:v>1</x:v>
      </x:c>
      <x:c r="J256" s="19" t="n">
        <x:f>IF(I256=1,G256,H256)</x:f>
        <x:v>0</x:v>
      </x:c>
      <x:c r="K256" s="19" t="n">
        <x:v>3</x:v>
      </x:c>
      <x:c r="L256" s="19" t="n">
        <x:f>K256+E256*0.5</x:f>
        <x:v>3.5</x:v>
      </x:c>
      <x:c r="M256" s="19" t="n">
        <x:f>D256+J256+F256*L256</x:f>
        <x:v>66</x:v>
      </x:c>
    </x:row>
    <x:row r="257" ht="25" customHeight="1">
      <x:c r="A257" s="3" t="str">
        <x:v>羊咩咩</x:v>
      </x:c>
      <x:c r="B257" s="3" t="str">
        <x:v>yangmiemie</x:v>
      </x:c>
      <x:c r="C257" s="3" t="str">
        <x:v>先攻</x:v>
      </x:c>
      <x:c r="D257" s="23" t="n">
        <x:v>101</x:v>
      </x:c>
      <x:c r="E257" s="23" t="n">
        <x:v>0</x:v>
      </x:c>
      <x:c r="F257" s="23" t="n">
        <x:v>0</x:v>
      </x:c>
      <x:c r="G257" s="23" t="n">
        <x:v>4</x:v>
      </x:c>
      <x:c r="H257" s="23" t="n">
        <x:v>0</x:v>
      </x:c>
      <x:c r="I257" s="23" t="n">
        <x:v>1</x:v>
      </x:c>
      <x:c r="J257" s="19" t="n">
        <x:f>IF(I257=1,G257,H257)</x:f>
        <x:v>4</x:v>
      </x:c>
      <x:c r="K257" s="19" t="n">
        <x:v>4</x:v>
      </x:c>
      <x:c r="L257" s="19" t="n">
        <x:f>K257+E257*0.5</x:f>
        <x:v>4</x:v>
      </x:c>
      <x:c r="M257" s="19" t="n">
        <x:f>D257+J257+F257*L257</x:f>
        <x:v>105</x:v>
      </x:c>
    </x:row>
    <x:row r="258" ht="25" customHeight="1">
      <x:c r="A258" s="10" t="str">
        <x:v>羊咩咩</x:v>
      </x:c>
      <x:c r="B258" s="10" t="str">
        <x:v>yangmiemie</x:v>
      </x:c>
      <x:c r="C258" s="10" t="str">
        <x:v>近攻</x:v>
      </x:c>
      <x:c r="D258" s="23" t="n">
        <x:v>56</x:v>
      </x:c>
      <x:c r="E258" s="23" t="n">
        <x:v>1</x:v>
      </x:c>
      <x:c r="F258" s="23" t="n">
        <x:v>10</x:v>
      </x:c>
      <x:c r="G258" s="23" t="n">
        <x:v>0</x:v>
      </x:c>
      <x:c r="H258" s="23" t="n">
        <x:v>0</x:v>
      </x:c>
      <x:c r="I258" s="23" t="n">
        <x:v>1</x:v>
      </x:c>
      <x:c r="J258" s="19" t="n">
        <x:f>IF(I258=1,G258,H258)</x:f>
        <x:v>0</x:v>
      </x:c>
      <x:c r="K258" s="19" t="n">
        <x:v>2</x:v>
      </x:c>
      <x:c r="L258" s="19" t="n">
        <x:f>K258+E258*0.5</x:f>
        <x:v>2.5</x:v>
      </x:c>
      <x:c r="M258" s="19" t="n">
        <x:f>D258+J258+F258*L258</x:f>
        <x:v>81</x:v>
      </x:c>
    </x:row>
    <x:row r="259" ht="25" customHeight="1">
      <x:c r="A259" s="3" t="str">
        <x:v>羊咩咩</x:v>
      </x:c>
      <x:c r="B259" s="3" t="str">
        <x:v>yangmiemie</x:v>
      </x:c>
      <x:c r="C259" s="3" t="str">
        <x:v>远攻</x:v>
      </x:c>
      <x:c r="D259" s="23" t="n">
        <x:v>35</x:v>
      </x:c>
      <x:c r="E259" s="23" t="n">
        <x:v>0</x:v>
      </x:c>
      <x:c r="F259" s="23" t="n">
        <x:v>0</x:v>
      </x:c>
      <x:c r="G259" s="23" t="n">
        <x:v>0</x:v>
      </x:c>
      <x:c r="H259" s="23" t="n">
        <x:v>0</x:v>
      </x:c>
      <x:c r="I259" s="23" t="n">
        <x:v>1</x:v>
      </x:c>
      <x:c r="J259" s="19" t="n">
        <x:f>IF(I259=1,G259,H259)</x:f>
        <x:v>0</x:v>
      </x:c>
      <x:c r="K259" s="19" t="n">
        <x:v>3</x:v>
      </x:c>
      <x:c r="L259" s="19" t="n">
        <x:f>K259+E259*0.5</x:f>
        <x:v>3</x:v>
      </x:c>
      <x:c r="M259" s="19" t="n">
        <x:f>D259+J259+F259*L259</x:f>
        <x:v>35</x:v>
      </x:c>
    </x:row>
    <x:row r="260" ht="25" customHeight="1">
      <x:c r="A260" s="10" t="str">
        <x:v>羊咩咩</x:v>
      </x:c>
      <x:c r="B260" s="10" t="str">
        <x:v>yangmiemie</x:v>
      </x:c>
      <x:c r="C260" s="10" t="str">
        <x:v>近防</x:v>
      </x:c>
      <x:c r="D260" s="23" t="n">
        <x:v>5</x:v>
      </x:c>
      <x:c r="E260" s="23" t="n">
        <x:v>0</x:v>
      </x:c>
      <x:c r="F260" s="23" t="n">
        <x:v>2</x:v>
      </x:c>
      <x:c r="G260" s="23" t="n">
        <x:v>0</x:v>
      </x:c>
      <x:c r="H260" s="23" t="n">
        <x:v>0</x:v>
      </x:c>
      <x:c r="I260" s="23" t="n">
        <x:v>1</x:v>
      </x:c>
      <x:c r="J260" s="19" t="n">
        <x:f>IF(I260=1,G260,H260)</x:f>
        <x:v>0</x:v>
      </x:c>
      <x:c r="K260" s="19" t="n">
        <x:v>2</x:v>
      </x:c>
      <x:c r="L260" s="19" t="n">
        <x:f>K260+E260*0.5</x:f>
        <x:v>2</x:v>
      </x:c>
      <x:c r="M260" s="19" t="n">
        <x:f>D260+J260+F260*L260</x:f>
        <x:v>9</x:v>
      </x:c>
    </x:row>
    <x:row r="261" ht="25" customHeight="1">
      <x:c r="A261" s="3" t="str">
        <x:v>羊咩咩</x:v>
      </x:c>
      <x:c r="B261" s="3" t="str">
        <x:v>yangmiemie</x:v>
      </x:c>
      <x:c r="C261" s="3" t="str">
        <x:v>远防</x:v>
      </x:c>
      <x:c r="D261" s="23" t="n">
        <x:v>3</x:v>
      </x:c>
      <x:c r="E261" s="23" t="n">
        <x:v>0</x:v>
      </x:c>
      <x:c r="F261" s="23" t="n">
        <x:v>0</x:v>
      </x:c>
      <x:c r="G261" s="23" t="n">
        <x:v>2</x:v>
      </x:c>
      <x:c r="H261" s="23" t="n">
        <x:v>0</x:v>
      </x:c>
      <x:c r="I261" s="23" t="n">
        <x:v>1</x:v>
      </x:c>
      <x:c r="J261" s="19" t="n">
        <x:f>IF(I261=1,G261,H261)</x:f>
        <x:v>2</x:v>
      </x:c>
      <x:c r="K261" s="19" t="n">
        <x:v>3</x:v>
      </x:c>
      <x:c r="L261" s="19" t="n">
        <x:f>K261+E261*0.5</x:f>
        <x:v>3</x:v>
      </x:c>
      <x:c r="M261" s="19" t="n">
        <x:f>D261+J261+F261*L261</x:f>
        <x:v>5</x:v>
      </x:c>
    </x:row>
    <x:row r="262" ht="25" customHeight="1">
      <x:c r="A262" s="10" t="str">
        <x:v>宋暖阳</x:v>
      </x:c>
      <x:c r="B262" s="10" t="str">
        <x:v>songnuanyang</x:v>
      </x:c>
      <x:c r="C262" s="10" t="str">
        <x:v>生命</x:v>
      </x:c>
      <x:c r="D262" s="23" t="n">
        <x:v>61</x:v>
      </x:c>
      <x:c r="E262" s="23" t="n">
        <x:v>1</x:v>
      </x:c>
      <x:c r="F262" s="23" t="n">
        <x:v>6</x:v>
      </x:c>
      <x:c r="G262" s="23" t="n">
        <x:v>3</x:v>
      </x:c>
      <x:c r="H262" s="23" t="n">
        <x:v>0</x:v>
      </x:c>
      <x:c r="I262" s="23" t="n">
        <x:v>1</x:v>
      </x:c>
      <x:c r="J262" s="19" t="n">
        <x:f>IF(I262=1,G262,H262)</x:f>
        <x:v>3</x:v>
      </x:c>
      <x:c r="K262" s="19" t="n">
        <x:v>3</x:v>
      </x:c>
      <x:c r="L262" s="19" t="n">
        <x:f>K262+E262*0.5</x:f>
        <x:v>3.5</x:v>
      </x:c>
      <x:c r="M262" s="19" t="n">
        <x:f>D262+J262+F262*L262</x:f>
        <x:v>85</x:v>
      </x:c>
    </x:row>
    <x:row r="263" ht="25" customHeight="1">
      <x:c r="A263" s="3" t="str">
        <x:v>宋暖阳</x:v>
      </x:c>
      <x:c r="B263" s="3" t="str">
        <x:v>songnuanyang</x:v>
      </x:c>
      <x:c r="C263" s="3" t="str">
        <x:v>疲劳上限</x:v>
      </x:c>
      <x:c r="D263" s="23" t="n">
        <x:v>104</x:v>
      </x:c>
      <x:c r="E263" s="23" t="n">
        <x:v>0</x:v>
      </x:c>
      <x:c r="F263" s="23" t="n">
        <x:v>0</x:v>
      </x:c>
      <x:c r="G263" s="23" t="n">
        <x:v>0</x:v>
      </x:c>
      <x:c r="H263" s="23" t="n">
        <x:v>0</x:v>
      </x:c>
      <x:c r="I263" s="23" t="n">
        <x:v>1</x:v>
      </x:c>
      <x:c r="J263" s="19" t="n">
        <x:f>IF(I263=1,G263,H263)</x:f>
        <x:v>0</x:v>
      </x:c>
      <x:c r="K263" s="19" t="n">
        <x:v>3</x:v>
      </x:c>
      <x:c r="L263" s="19" t="n">
        <x:f>K263+E263*0.5</x:f>
        <x:v>3</x:v>
      </x:c>
      <x:c r="M263" s="19" t="n">
        <x:f>D263+J263+F263*L263</x:f>
        <x:v>104</x:v>
      </x:c>
    </x:row>
    <x:row r="264" ht="25" customHeight="1">
      <x:c r="A264" s="10" t="str">
        <x:v>宋暖阳</x:v>
      </x:c>
      <x:c r="B264" s="10" t="str">
        <x:v>songnuanyang</x:v>
      </x:c>
      <x:c r="C264" s="10" t="str">
        <x:v>决心</x:v>
      </x:c>
      <x:c r="D264" s="23" t="n">
        <x:v>49</x:v>
      </x:c>
      <x:c r="E264" s="23" t="n">
        <x:v>1</x:v>
      </x:c>
      <x:c r="F264" s="23" t="n">
        <x:v>4</x:v>
      </x:c>
      <x:c r="G264" s="23" t="n">
        <x:v>4</x:v>
      </x:c>
      <x:c r="H264" s="23" t="n">
        <x:v>0</x:v>
      </x:c>
      <x:c r="I264" s="23" t="n">
        <x:v>1</x:v>
      </x:c>
      <x:c r="J264" s="19" t="n">
        <x:f>IF(I264=1,G264,H264)</x:f>
        <x:v>4</x:v>
      </x:c>
      <x:c r="K264" s="19" t="n">
        <x:v>3</x:v>
      </x:c>
      <x:c r="L264" s="19" t="n">
        <x:f>K264+E264*0.5</x:f>
        <x:v>3.5</x:v>
      </x:c>
      <x:c r="M264" s="19" t="n">
        <x:f>D264+J264+F264*L264</x:f>
        <x:v>67</x:v>
      </x:c>
    </x:row>
    <x:row r="265" ht="25" customHeight="1">
      <x:c r="A265" s="3" t="str">
        <x:v>宋暖阳</x:v>
      </x:c>
      <x:c r="B265" s="3" t="str">
        <x:v>songnuanyang</x:v>
      </x:c>
      <x:c r="C265" s="3" t="str">
        <x:v>先攻</x:v>
      </x:c>
      <x:c r="D265" s="23" t="n">
        <x:v>110</x:v>
      </x:c>
      <x:c r="E265" s="23" t="n">
        <x:v>0</x:v>
      </x:c>
      <x:c r="F265" s="23" t="n">
        <x:v>0</x:v>
      </x:c>
      <x:c r="G265" s="23" t="n">
        <x:v>0</x:v>
      </x:c>
      <x:c r="H265" s="23" t="n">
        <x:v>3</x:v>
      </x:c>
      <x:c r="I265" s="23" t="n">
        <x:v>1</x:v>
      </x:c>
      <x:c r="J265" s="19" t="n">
        <x:f>IF(I265=1,G265,H265)</x:f>
        <x:v>0</x:v>
      </x:c>
      <x:c r="K265" s="19" t="n">
        <x:v>4</x:v>
      </x:c>
      <x:c r="L265" s="19" t="n">
        <x:f>K265+E265*0.5</x:f>
        <x:v>4</x:v>
      </x:c>
      <x:c r="M265" s="19" t="n">
        <x:f>D265+J265+F265*L265</x:f>
        <x:v>110</x:v>
      </x:c>
    </x:row>
    <x:row r="266" ht="25" customHeight="1">
      <x:c r="A266" s="10" t="str">
        <x:v>宋暖阳</x:v>
      </x:c>
      <x:c r="B266" s="10" t="str">
        <x:v>songnuanyang</x:v>
      </x:c>
      <x:c r="C266" s="10" t="str">
        <x:v>近攻</x:v>
      </x:c>
      <x:c r="D266" s="23" t="n">
        <x:v>59</x:v>
      </x:c>
      <x:c r="E266" s="23" t="n">
        <x:v>1</x:v>
      </x:c>
      <x:c r="F266" s="23" t="n">
        <x:v>10</x:v>
      </x:c>
      <x:c r="G266" s="23" t="n">
        <x:v>0</x:v>
      </x:c>
      <x:c r="H266" s="23" t="n">
        <x:v>0</x:v>
      </x:c>
      <x:c r="I266" s="23" t="n">
        <x:v>1</x:v>
      </x:c>
      <x:c r="J266" s="19" t="n">
        <x:f>IF(I266=1,G266,H266)</x:f>
        <x:v>0</x:v>
      </x:c>
      <x:c r="K266" s="19" t="n">
        <x:v>2</x:v>
      </x:c>
      <x:c r="L266" s="19" t="n">
        <x:f>K266+E266*0.5</x:f>
        <x:v>2.5</x:v>
      </x:c>
      <x:c r="M266" s="19" t="n">
        <x:f>D266+J266+F266*L266</x:f>
        <x:v>84</x:v>
      </x:c>
    </x:row>
    <x:row r="267" ht="25" customHeight="1">
      <x:c r="A267" s="3" t="str">
        <x:v>宋暖阳</x:v>
      </x:c>
      <x:c r="B267" s="3" t="str">
        <x:v>songnuanyang</x:v>
      </x:c>
      <x:c r="C267" s="3" t="str">
        <x:v>远攻</x:v>
      </x:c>
      <x:c r="D267" s="23" t="n">
        <x:v>36</x:v>
      </x:c>
      <x:c r="E267" s="23" t="n">
        <x:v>0</x:v>
      </x:c>
      <x:c r="F267" s="23" t="n">
        <x:v>0</x:v>
      </x:c>
      <x:c r="G267" s="23" t="n">
        <x:v>0</x:v>
      </x:c>
      <x:c r="H267" s="23" t="n">
        <x:v>0</x:v>
      </x:c>
      <x:c r="I267" s="23" t="n">
        <x:v>1</x:v>
      </x:c>
      <x:c r="J267" s="19" t="n">
        <x:f>IF(I267=1,G267,H267)</x:f>
        <x:v>0</x:v>
      </x:c>
      <x:c r="K267" s="19" t="n">
        <x:v>3</x:v>
      </x:c>
      <x:c r="L267" s="19" t="n">
        <x:f>K267+E267*0.5</x:f>
        <x:v>3</x:v>
      </x:c>
      <x:c r="M267" s="19" t="n">
        <x:f>D267+J267+F267*L267</x:f>
        <x:v>36</x:v>
      </x:c>
    </x:row>
    <x:row r="268" ht="25" customHeight="1">
      <x:c r="A268" s="10" t="str">
        <x:v>宋暖阳</x:v>
      </x:c>
      <x:c r="B268" s="10" t="str">
        <x:v>songnuanyang</x:v>
      </x:c>
      <x:c r="C268" s="10" t="str">
        <x:v>近防</x:v>
      </x:c>
      <x:c r="D268" s="23" t="n">
        <x:v>6</x:v>
      </x:c>
      <x:c r="E268" s="23" t="n">
        <x:v>0</x:v>
      </x:c>
      <x:c r="F268" s="23" t="n">
        <x:v>10</x:v>
      </x:c>
      <x:c r="G268" s="23" t="n">
        <x:v>0</x:v>
      </x:c>
      <x:c r="H268" s="23" t="n">
        <x:v>0</x:v>
      </x:c>
      <x:c r="I268" s="23" t="n">
        <x:v>1</x:v>
      </x:c>
      <x:c r="J268" s="19" t="n">
        <x:f>IF(I268=1,G268,H268)</x:f>
        <x:v>0</x:v>
      </x:c>
      <x:c r="K268" s="19" t="n">
        <x:v>2</x:v>
      </x:c>
      <x:c r="L268" s="19" t="n">
        <x:f>K268+E268*0.5</x:f>
        <x:v>2</x:v>
      </x:c>
      <x:c r="M268" s="19" t="n">
        <x:f>D268+J268+F268*L268</x:f>
        <x:v>26</x:v>
      </x:c>
    </x:row>
    <x:row r="269" ht="25" customHeight="1">
      <x:c r="A269" s="3" t="str">
        <x:v>宋暖阳</x:v>
      </x:c>
      <x:c r="B269" s="3" t="str">
        <x:v>songnuanyang</x:v>
      </x:c>
      <x:c r="C269" s="3" t="str">
        <x:v>远防</x:v>
      </x:c>
      <x:c r="D269" s="23" t="n">
        <x:v>5</x:v>
      </x:c>
      <x:c r="E269" s="23" t="n">
        <x:v>0</x:v>
      </x:c>
      <x:c r="F269" s="23" t="n">
        <x:v>0</x:v>
      </x:c>
      <x:c r="G269" s="23" t="n">
        <x:v>0</x:v>
      </x:c>
      <x:c r="H269" s="23" t="n">
        <x:v>3</x:v>
      </x:c>
      <x:c r="I269" s="23" t="n">
        <x:v>1</x:v>
      </x:c>
      <x:c r="J269" s="19" t="n">
        <x:f>IF(I269=1,G269,H269)</x:f>
        <x:v>0</x:v>
      </x:c>
      <x:c r="K269" s="19" t="n">
        <x:v>3</x:v>
      </x:c>
      <x:c r="L269" s="19" t="n">
        <x:f>K269+E269*0.5</x:f>
        <x:v>3</x:v>
      </x:c>
      <x:c r="M269" s="19" t="n">
        <x:f>D269+J269+F269*L269</x:f>
        <x:v>5</x:v>
      </x:c>
    </x:row>
    <x:row r="270" ht="25" customHeight="1">
      <x:c r="A270" s="10" t="str">
        <x:v>溺水小龟</x:v>
      </x:c>
      <x:c r="B270" s="10" t="str">
        <x:v>xiaogui</x:v>
      </x:c>
      <x:c r="C270" s="10" t="str">
        <x:v>生命</x:v>
      </x:c>
      <x:c r="D270" s="23" t="n">
        <x:v>54</x:v>
      </x:c>
      <x:c r="E270" s="23" t="n">
        <x:v>0</x:v>
      </x:c>
      <x:c r="F270" s="23" t="n">
        <x:v>8</x:v>
      </x:c>
      <x:c r="G270" s="23" t="n">
        <x:v>0</x:v>
      </x:c>
      <x:c r="H270" s="23" t="n">
        <x:v>0</x:v>
      </x:c>
      <x:c r="I270" s="23" t="n">
        <x:v>1</x:v>
      </x:c>
      <x:c r="J270" s="19" t="n">
        <x:f>IF(I270=1,G270,H270)</x:f>
        <x:v>0</x:v>
      </x:c>
      <x:c r="K270" s="19" t="n">
        <x:v>3</x:v>
      </x:c>
      <x:c r="L270" s="19" t="n">
        <x:f>K270+E270*0.5</x:f>
        <x:v>3</x:v>
      </x:c>
      <x:c r="M270" s="19" t="n">
        <x:f>D270+J270+F270*L270</x:f>
        <x:v>78</x:v>
      </x:c>
    </x:row>
    <x:row r="271" ht="25" customHeight="1">
      <x:c r="A271" s="3" t="str">
        <x:v>溺水小龟</x:v>
      </x:c>
      <x:c r="B271" s="3" t="str">
        <x:v>xiaogui</x:v>
      </x:c>
      <x:c r="C271" s="3" t="str">
        <x:v>疲劳上限</x:v>
      </x:c>
      <x:c r="D271" s="23" t="n">
        <x:v>108</x:v>
      </x:c>
      <x:c r="E271" s="23" t="n">
        <x:v>1</x:v>
      </x:c>
      <x:c r="F271" s="23" t="n">
        <x:v>5</x:v>
      </x:c>
      <x:c r="G271" s="23" t="n">
        <x:v>0</x:v>
      </x:c>
      <x:c r="H271" s="23" t="n">
        <x:v>0</x:v>
      </x:c>
      <x:c r="I271" s="23" t="n">
        <x:v>1</x:v>
      </x:c>
      <x:c r="J271" s="19" t="n">
        <x:f>IF(I271=1,G271,H271)</x:f>
        <x:v>0</x:v>
      </x:c>
      <x:c r="K271" s="19" t="n">
        <x:v>3</x:v>
      </x:c>
      <x:c r="L271" s="19" t="n">
        <x:f>K271+E271*0.5</x:f>
        <x:v>3.5</x:v>
      </x:c>
      <x:c r="M271" s="19" t="n">
        <x:f>D271+J271+F271*L271</x:f>
        <x:v>125.5</x:v>
      </x:c>
    </x:row>
    <x:row r="272" ht="25" customHeight="1">
      <x:c r="A272" s="10" t="str">
        <x:v>溺水小龟</x:v>
      </x:c>
      <x:c r="B272" s="10" t="str">
        <x:v>xiaogui</x:v>
      </x:c>
      <x:c r="C272" s="10" t="str">
        <x:v>决心</x:v>
      </x:c>
      <x:c r="D272" s="23" t="n">
        <x:v>45</x:v>
      </x:c>
      <x:c r="E272" s="23" t="n">
        <x:v>2</x:v>
      </x:c>
      <x:c r="F272" s="23" t="n">
        <x:v>7</x:v>
      </x:c>
      <x:c r="G272" s="23" t="n">
        <x:v>0</x:v>
      </x:c>
      <x:c r="H272" s="23" t="n">
        <x:v>0</x:v>
      </x:c>
      <x:c r="I272" s="23" t="n">
        <x:v>1</x:v>
      </x:c>
      <x:c r="J272" s="19" t="n">
        <x:f>IF(I272=1,G272,H272)</x:f>
        <x:v>0</x:v>
      </x:c>
      <x:c r="K272" s="19" t="n">
        <x:v>3</x:v>
      </x:c>
      <x:c r="L272" s="19" t="n">
        <x:f>K272+E272*0.5</x:f>
        <x:v>4</x:v>
      </x:c>
      <x:c r="M272" s="19" t="n">
        <x:f>D272+J272+F272*L272</x:f>
        <x:v>73</x:v>
      </x:c>
    </x:row>
    <x:row r="273" ht="25" customHeight="1">
      <x:c r="A273" s="3" t="str">
        <x:v>溺水小龟</x:v>
      </x:c>
      <x:c r="B273" s="3" t="str">
        <x:v>xiaogui</x:v>
      </x:c>
      <x:c r="C273" s="3" t="str">
        <x:v>先攻</x:v>
      </x:c>
      <x:c r="D273" s="23" t="n">
        <x:v>88</x:v>
      </x:c>
      <x:c r="E273" s="23" t="n">
        <x:v>0</x:v>
      </x:c>
      <x:c r="F273" s="23" t="n">
        <x:v>0</x:v>
      </x:c>
      <x:c r="G273" s="23" t="n">
        <x:v>5</x:v>
      </x:c>
      <x:c r="H273" s="23" t="n">
        <x:v>0</x:v>
      </x:c>
      <x:c r="I273" s="23" t="n">
        <x:v>1</x:v>
      </x:c>
      <x:c r="J273" s="19" t="n">
        <x:f>IF(I273=1,G273,H273)</x:f>
        <x:v>5</x:v>
      </x:c>
      <x:c r="K273" s="19" t="n">
        <x:v>4</x:v>
      </x:c>
      <x:c r="L273" s="19" t="n">
        <x:f>K273+E273*0.5</x:f>
        <x:v>4</x:v>
      </x:c>
      <x:c r="M273" s="19" t="n">
        <x:f>D273+J273+F273*L273</x:f>
        <x:v>93</x:v>
      </x:c>
    </x:row>
    <x:row r="274" ht="25" customHeight="1">
      <x:c r="A274" s="10" t="str">
        <x:v>溺水小龟</x:v>
      </x:c>
      <x:c r="B274" s="10" t="str">
        <x:v>xiaogui</x:v>
      </x:c>
      <x:c r="C274" s="10" t="str">
        <x:v>近攻</x:v>
      </x:c>
      <x:c r="D274" s="23" t="n">
        <x:v>49</x:v>
      </x:c>
      <x:c r="E274" s="23" t="n">
        <x:v>0</x:v>
      </x:c>
      <x:c r="F274" s="23" t="n">
        <x:v>0</x:v>
      </x:c>
      <x:c r="G274" s="23" t="n">
        <x:v>0</x:v>
      </x:c>
      <x:c r="H274" s="23" t="n">
        <x:v>0</x:v>
      </x:c>
      <x:c r="I274" s="23" t="n">
        <x:v>1</x:v>
      </x:c>
      <x:c r="J274" s="19" t="n">
        <x:f>IF(I274=1,G274,H274)</x:f>
        <x:v>0</x:v>
      </x:c>
      <x:c r="K274" s="19" t="n">
        <x:v>2</x:v>
      </x:c>
      <x:c r="L274" s="19" t="n">
        <x:f>K274+E274*0.5</x:f>
        <x:v>2</x:v>
      </x:c>
      <x:c r="M274" s="19" t="n">
        <x:f>D274+J274+F274*L274</x:f>
        <x:v>49</x:v>
      </x:c>
    </x:row>
    <x:row r="275" ht="25" customHeight="1">
      <x:c r="A275" s="3" t="str">
        <x:v>溺水小龟</x:v>
      </x:c>
      <x:c r="B275" s="3" t="str">
        <x:v>xiaogui</x:v>
      </x:c>
      <x:c r="C275" s="3" t="str">
        <x:v>远攻</x:v>
      </x:c>
      <x:c r="D275" s="23" t="n">
        <x:v>38</x:v>
      </x:c>
      <x:c r="E275" s="23" t="n">
        <x:v>0</x:v>
      </x:c>
      <x:c r="F275" s="23" t="n">
        <x:v>0</x:v>
      </x:c>
      <x:c r="G275" s="23" t="n">
        <x:v>2</x:v>
      </x:c>
      <x:c r="H275" s="23" t="n">
        <x:v>0</x:v>
      </x:c>
      <x:c r="I275" s="23" t="n">
        <x:v>1</x:v>
      </x:c>
      <x:c r="J275" s="19" t="n">
        <x:f>IF(I275=1,G275,H275)</x:f>
        <x:v>2</x:v>
      </x:c>
      <x:c r="K275" s="19" t="n">
        <x:v>3</x:v>
      </x:c>
      <x:c r="L275" s="19" t="n">
        <x:f>K275+E275*0.5</x:f>
        <x:v>3</x:v>
      </x:c>
      <x:c r="M275" s="19" t="n">
        <x:f>D275+J275+F275*L275</x:f>
        <x:v>40</x:v>
      </x:c>
    </x:row>
    <x:row r="276" ht="25" customHeight="1">
      <x:c r="A276" s="10" t="str">
        <x:v>溺水小龟</x:v>
      </x:c>
      <x:c r="B276" s="10" t="str">
        <x:v>xiaogui</x:v>
      </x:c>
      <x:c r="C276" s="10" t="str">
        <x:v>近防</x:v>
      </x:c>
      <x:c r="D276" s="23" t="n">
        <x:v>3</x:v>
      </x:c>
      <x:c r="E276" s="23" t="n">
        <x:v>3</x:v>
      </x:c>
      <x:c r="F276" s="23" t="n">
        <x:v>10</x:v>
      </x:c>
      <x:c r="G276" s="23" t="n">
        <x:v>0</x:v>
      </x:c>
      <x:c r="H276" s="23" t="n">
        <x:v>2</x:v>
      </x:c>
      <x:c r="I276" s="23" t="n">
        <x:v>1</x:v>
      </x:c>
      <x:c r="J276" s="19" t="n">
        <x:f>IF(I276=1,G276,H276)</x:f>
        <x:v>0</x:v>
      </x:c>
      <x:c r="K276" s="19" t="n">
        <x:v>2</x:v>
      </x:c>
      <x:c r="L276" s="19" t="n">
        <x:f>K276+E276*0.5</x:f>
        <x:v>3.5</x:v>
      </x:c>
      <x:c r="M276" s="19" t="n">
        <x:f>D276+J276+F276*L276</x:f>
        <x:v>38</x:v>
      </x:c>
    </x:row>
    <x:row r="277" ht="25" customHeight="1">
      <x:c r="A277" s="3" t="str">
        <x:v>溺水小龟</x:v>
      </x:c>
      <x:c r="B277" s="3" t="str">
        <x:v>xiaogui</x:v>
      </x:c>
      <x:c r="C277" s="3" t="str">
        <x:v>远防</x:v>
      </x:c>
      <x:c r="D277" s="23" t="n">
        <x:v>5</x:v>
      </x:c>
      <x:c r="E277" s="23" t="n">
        <x:v>0</x:v>
      </x:c>
      <x:c r="F277" s="23" t="n">
        <x:v>0</x:v>
      </x:c>
      <x:c r="G277" s="23" t="n">
        <x:v>0</x:v>
      </x:c>
      <x:c r="H277" s="23" t="n">
        <x:v>3</x:v>
      </x:c>
      <x:c r="I277" s="23" t="n">
        <x:v>1</x:v>
      </x:c>
      <x:c r="J277" s="19" t="n">
        <x:f>IF(I277=1,G277,H277)</x:f>
        <x:v>0</x:v>
      </x:c>
      <x:c r="K277" s="19" t="n">
        <x:v>3</x:v>
      </x:c>
      <x:c r="L277" s="19" t="n">
        <x:f>K277+E277*0.5</x:f>
        <x:v>3</x:v>
      </x:c>
      <x:c r="M277" s="19" t="n">
        <x:f>D277+J277+F277*L277</x:f>
        <x:v>5</x:v>
      </x:c>
    </x:row>
  </x:sheetData>
  <x:dataValidations count="3">
    <x:dataValidation type="list" sqref="I6:I277">
      <x:formula1>"1,2"</x:formula1>
    </x:dataValidation>
    <x:dataValidation type="list" sqref="E6:E277">
      <x:formula1>"0,1,2,3"</x:formula1>
    </x:dataValidation>
    <x:dataValidation type="list" sqref="F6:F277">
      <x:formula1>"0,1,2,3,4,5,6,7,8,9,10"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578e111ad549f4"/>
  </x:tableParts>
</x:worksheet>
</file>

<file path=xl/worksheets/sheet4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5" hidden="0" customWidth="1"/>
    <x:col min="14" max="14" width="54" hidden="0" customWidth="1"/>
  </x:cols>
  <x:sheetData>
    <x:row r="1" ht="36" customHeight="1">
      <x:c r="A1" s="5" t="str">
        <x:v>11级人物总览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绿色随属性成长输入重算；分支一致=1且培养合计=30才是合法方案。裸近防不含盾牌与小龟体质。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6" customHeight="1">
      <x:c r="A5" s="9" t="str">
        <x:v>人物</x:v>
      </x:c>
      <x:c r="B5" s="9" t="str">
        <x:v>角色</x:v>
      </x:c>
      <x:c r="C5" s="9" t="str">
        <x:v>生命</x:v>
      </x:c>
      <x:c r="D5" s="9" t="str">
        <x:v>疲劳上限</x:v>
      </x:c>
      <x:c r="E5" s="9" t="str">
        <x:v>决心</x:v>
      </x:c>
      <x:c r="F5" s="9" t="str">
        <x:v>先攻</x:v>
      </x:c>
      <x:c r="G5" s="9" t="str">
        <x:v>近攻</x:v>
      </x:c>
      <x:c r="H5" s="9" t="str">
        <x:v>远攻</x:v>
      </x:c>
      <x:c r="I5" s="9" t="str">
        <x:v>近防</x:v>
      </x:c>
      <x:c r="J5" s="9" t="str">
        <x:v>远防</x:v>
      </x:c>
      <x:c r="K5" s="9" t="str">
        <x:v>分配合计</x:v>
      </x:c>
      <x:c r="L5" s="9" t="str">
        <x:v>分支一致</x:v>
      </x:c>
      <x:c r="M5" s="9" t="str">
        <x:v>日薪11级</x:v>
      </x:c>
      <x:c r="N5" s="9" t="str">
        <x:v>培养提示</x:v>
      </x:c>
    </x:row>
    <x:row r="6" ht="54" customHeight="1">
      <x:c r="A6" s="10" t="str">
        <x:v>阿飞</x:v>
      </x:c>
      <x:c r="B6" s="10" t="str">
        <x:v>成长型队长</x:v>
      </x:c>
      <x:c r="C6" s="19" t="n">
        <x:f>'属性成长'!M6</x:f>
        <x:v>70</x:v>
      </x:c>
      <x:c r="D6" s="19" t="n">
        <x:f>'属性成长'!M7</x:f>
        <x:v>94</x:v>
      </x:c>
      <x:c r="E6" s="19" t="n">
        <x:f>'属性成长'!M8</x:f>
        <x:v>56</x:v>
      </x:c>
      <x:c r="F6" s="19" t="n">
        <x:f>'属性成长'!M9</x:f>
        <x:v>100</x:v>
      </x:c>
      <x:c r="G6" s="19" t="n">
        <x:f>'属性成长'!M10</x:f>
        <x:v>80</x:v>
      </x:c>
      <x:c r="H6" s="19" t="n">
        <x:f>'属性成长'!M11</x:f>
        <x:v>32</x:v>
      </x:c>
      <x:c r="I6" s="19" t="n">
        <x:f>'属性成长'!M12</x:f>
        <x:v>33</x:v>
      </x:c>
      <x:c r="J6" s="19" t="n">
        <x:f>'属性成长'!M13</x:f>
        <x:v>2</x:v>
      </x:c>
      <x:c r="K6" s="19" t="n">
        <x:f>SUM('属性成长'!F6:F13)</x:f>
        <x:v>30</x:v>
      </x:c>
      <x:c r="L6" s="19" t="n">
        <x:f>IF(MAX('属性成长'!I6:I13)=MIN('属性成长'!I6:I13),1,0)</x:f>
        <x:v>1</x:v>
      </x:c>
      <x:c r="M6" s="19" t="n">
        <x:f>'招募节奏'!N6*'来源说明'!$B$8^10</x:f>
        <x:v>20.74993968080002</x:v>
      </x:c>
      <x:c r="N6" s="10" t="str">
        <x:v>不要把近防、生命、决心同时让位给输出；破甲弱时换武器</x:v>
      </x:c>
    </x:row>
    <x:row r="7" ht="54" customHeight="1">
      <x:c r="A7" s="3" t="str">
        <x:v>王大谋</x:v>
      </x:c>
      <x:c r="B7" s="3" t="str">
        <x:v>单点护卫盾师</x:v>
      </x:c>
      <x:c r="C7" s="19" t="n">
        <x:f>'属性成长'!M14</x:f>
        <x:v>83</x:v>
      </x:c>
      <x:c r="D7" s="19" t="n">
        <x:f>'属性成长'!M15</x:f>
        <x:v>120.5</x:v>
      </x:c>
      <x:c r="E7" s="19" t="n">
        <x:f>'属性成长'!M16</x:f>
        <x:v>76</x:v>
      </x:c>
      <x:c r="F7" s="19" t="n">
        <x:f>'属性成长'!M17</x:f>
        <x:v>96</x:v>
      </x:c>
      <x:c r="G7" s="19" t="n">
        <x:f>'属性成长'!M18</x:f>
        <x:v>56</x:v>
      </x:c>
      <x:c r="H7" s="19" t="n">
        <x:f>'属性成长'!M19</x:f>
        <x:v>32</x:v>
      </x:c>
      <x:c r="I7" s="19" t="n">
        <x:f>'属性成长'!M20</x:f>
        <x:v>43</x:v>
      </x:c>
      <x:c r="J7" s="19" t="n">
        <x:f>'属性成长'!M21</x:f>
        <x:v>2</x:v>
      </x:c>
      <x:c r="K7" s="19" t="n">
        <x:f>SUM('属性成长'!F14:F21)</x:f>
        <x:v>30</x:v>
      </x:c>
      <x:c r="L7" s="19" t="n">
        <x:f>IF(MAX('属性成长'!I14:I21)=MIN('属性成长'!I14:I21),1,0)</x:f>
        <x:v>1</x:v>
      </x:c>
      <x:c r="M7" s="19" t="n">
        <x:f>'招募节奏'!N7*'来源说明'!$B$8^10</x:f>
        <x:v>38.906136901500034</x:v>
      </x:c>
      <x:c r="N7" s="3" t="str">
        <x:v>输出低；破盾、疲劳压制、围攻与控制会使其失效</x:v>
      </x:c>
    </x:row>
    <x:row r="8" ht="54" customHeight="1">
      <x:c r="A8" s="10" t="str">
        <x:v>午夜抹抹茶</x:v>
      </x:c>
      <x:c r="B8" s="10" t="str">
        <x:v>弩手兼军需账房</x:v>
      </x:c>
      <x:c r="C8" s="19" t="n">
        <x:f>'属性成长'!M22</x:f>
        <x:v>74</x:v>
      </x:c>
      <x:c r="D8" s="19" t="n">
        <x:f>'属性成长'!M23</x:f>
        <x:v>116</x:v>
      </x:c>
      <x:c r="E8" s="19" t="n">
        <x:f>'属性成长'!M24</x:f>
        <x:v>62.5</x:v>
      </x:c>
      <x:c r="F8" s="19" t="n">
        <x:f>'属性成长'!M25</x:f>
        <x:v>100</x:v>
      </x:c>
      <x:c r="G8" s="19" t="n">
        <x:f>'属性成长'!M26</x:f>
        <x:v>50</x:v>
      </x:c>
      <x:c r="H8" s="19" t="n">
        <x:f>'属性成长'!M27</x:f>
        <x:v>94</x:v>
      </x:c>
      <x:c r="I8" s="19" t="n">
        <x:f>'属性成长'!M28</x:f>
        <x:v>3</x:v>
      </x:c>
      <x:c r="J8" s="19" t="n">
        <x:f>'属性成长'!M29</x:f>
        <x:v>17</x:v>
      </x:c>
      <x:c r="K8" s="19" t="n">
        <x:f>SUM('属性成长'!F22:F29)</x:f>
        <x:v>30</x:v>
      </x:c>
      <x:c r="L8" s="19" t="n">
        <x:f>IF(MAX('属性成长'!I22:I29)=MIN('属性成长'!I22:I29),1,0)</x:f>
        <x:v>1</x:v>
      </x:c>
      <x:c r="M8" s="19" t="n">
        <x:f>'招募节奏'!N8*'来源说明'!$B$8^10</x:f>
        <x:v>25.937424601000025</x:v>
      </x:c>
      <x:c r="N8" s="10" t="str">
        <x:v>古代亡灵和重盾克制弓；被贴身后应撤离或用备用近战</x:v>
      </x:c>
    </x:row>
    <x:row r="9" ht="54" customHeight="1">
      <x:c r="A9" s="3" t="str">
        <x:v>小酒瓶</x:v>
      </x:c>
      <x:c r="B9" s="3" t="str">
        <x:v>高成长决战剑士</x:v>
      </x:c>
      <x:c r="C9" s="19" t="n">
        <x:f>'属性成长'!M30</x:f>
        <x:v>74</x:v>
      </x:c>
      <x:c r="D9" s="19" t="n">
        <x:f>'属性成长'!M31</x:f>
        <x:v>97</x:v>
      </x:c>
      <x:c r="E9" s="19" t="n">
        <x:f>'属性成长'!M32</x:f>
        <x:v>62</x:v>
      </x:c>
      <x:c r="F9" s="19" t="n">
        <x:f>'属性成长'!M33</x:f>
        <x:v>105</x:v>
      </x:c>
      <x:c r="G9" s="19" t="n">
        <x:f>'属性成长'!M34</x:f>
        <x:v>91</x:v>
      </x:c>
      <x:c r="H9" s="19" t="n">
        <x:f>'属性成长'!M35</x:f>
        <x:v>34</x:v>
      </x:c>
      <x:c r="I9" s="19" t="n">
        <x:f>'属性成长'!M36</x:f>
        <x:v>38</x:v>
      </x:c>
      <x:c r="J9" s="19" t="n">
        <x:f>'属性成长'!M37</x:f>
        <x:v>2</x:v>
      </x:c>
      <x:c r="K9" s="19" t="n">
        <x:f>SUM('属性成长'!F30:F37)</x:f>
        <x:v>30</x:v>
      </x:c>
      <x:c r="L9" s="19" t="n">
        <x:f>IF(MAX('属性成长'!I30:I37)=MIN('属性成长'!I30:I37),1,0)</x:f>
        <x:v>1</x:v>
      </x:c>
      <x:c r="M9" s="19" t="n">
        <x:f>'招募节奏'!N9*'来源说明'!$B$8^10</x:f>
        <x:v>41.49987936160004</x:v>
      </x:c>
      <x:c r="N9" s="3" t="str">
        <x:v>不要把近防、生命、决心同时让位给输出；破甲弱时换武器</x:v>
      </x:c>
    </x:row>
    <x:row r="10" ht="54" customHeight="1">
      <x:c r="A10" s="10" t="str">
        <x:v>白小帅子</x:v>
      </x:c>
      <x:c r="B10" s="10" t="str">
        <x:v>低成本守线盾卫</x:v>
      </x:c>
      <x:c r="C10" s="19" t="n">
        <x:f>'属性成长'!M38</x:f>
        <x:v>93</x:v>
      </x:c>
      <x:c r="D10" s="19" t="n">
        <x:f>'属性成长'!M39</x:f>
        <x:v>117</x:v>
      </x:c>
      <x:c r="E10" s="19" t="n">
        <x:f>'属性成长'!M40</x:f>
        <x:v>69.5</x:v>
      </x:c>
      <x:c r="F10" s="19" t="n">
        <x:f>'属性成长'!M41</x:f>
        <x:v>96</x:v>
      </x:c>
      <x:c r="G10" s="19" t="n">
        <x:f>'属性成长'!M42</x:f>
        <x:v>54</x:v>
      </x:c>
      <x:c r="H10" s="19" t="n">
        <x:f>'属性成长'!M43</x:f>
        <x:v>30</x:v>
      </x:c>
      <x:c r="I10" s="19" t="n">
        <x:f>'属性成长'!M44</x:f>
        <x:v>40</x:v>
      </x:c>
      <x:c r="J10" s="19" t="n">
        <x:f>'属性成长'!M45</x:f>
        <x:v>3</x:v>
      </x:c>
      <x:c r="K10" s="19" t="n">
        <x:f>SUM('属性成长'!F38:F45)</x:f>
        <x:v>30</x:v>
      </x:c>
      <x:c r="L10" s="19" t="n">
        <x:f>IF(MAX('属性成长'!I38:I45)=MIN('属性成长'!I38:I45),1,0)</x:f>
        <x:v>1</x:v>
      </x:c>
      <x:c r="M10" s="19" t="n">
        <x:f>'招募节奏'!N10*'来源说明'!$B$8^10</x:f>
        <x:v>23.34368214090002</x:v>
      </x:c>
      <x:c r="N10" s="10" t="str">
        <x:v>输出低；破盾、疲劳压制、围攻与控制会使其失效</x:v>
      </x:c>
    </x:row>
    <x:row r="11" ht="54" customHeight="1">
      <x:c r="A11" s="3" t="str">
        <x:v>李李超欧</x:v>
      </x:c>
      <x:c r="B11" s="3" t="str">
        <x:v>远距弓手</x:v>
      </x:c>
      <x:c r="C11" s="19" t="n">
        <x:f>'属性成长'!M46</x:f>
        <x:v>73</x:v>
      </x:c>
      <x:c r="D11" s="19" t="n">
        <x:f>'属性成长'!M47</x:f>
        <x:v>107</x:v>
      </x:c>
      <x:c r="E11" s="19" t="n">
        <x:f>'属性成长'!M48</x:f>
        <x:v>55.5</x:v>
      </x:c>
      <x:c r="F11" s="19" t="n">
        <x:f>'属性成长'!M49</x:f>
        <x:v>119</x:v>
      </x:c>
      <x:c r="G11" s="19" t="n">
        <x:f>'属性成长'!M50</x:f>
        <x:v>46</x:v>
      </x:c>
      <x:c r="H11" s="19" t="n">
        <x:f>'属性成长'!M51</x:f>
        <x:v>98</x:v>
      </x:c>
      <x:c r="I11" s="19" t="n">
        <x:f>'属性成长'!M52</x:f>
        <x:v>1</x:v>
      </x:c>
      <x:c r="J11" s="19" t="n">
        <x:f>'属性成长'!M53</x:f>
        <x:v>17</x:v>
      </x:c>
      <x:c r="K11" s="19" t="n">
        <x:f>SUM('属性成长'!F46:F53)</x:f>
        <x:v>30</x:v>
      </x:c>
      <x:c r="L11" s="19" t="n">
        <x:f>IF(MAX('属性成长'!I46:I53)=MIN('属性成长'!I46:I53),1,0)</x:f>
        <x:v>1</x:v>
      </x:c>
      <x:c r="M11" s="19" t="n">
        <x:f>'招募节奏'!N11*'来源说明'!$B$8^10</x:f>
        <x:v>28.531167061100025</x:v>
      </x:c>
      <x:c r="N11" s="3" t="str">
        <x:v>古代亡灵和重盾克制弓；被贴身后应撤离或用备用近战</x:v>
      </x:c>
    </x:row>
    <x:row r="12" ht="54" customHeight="1">
      <x:c r="A12" s="10" t="str">
        <x:v>小月牙</x:v>
      </x:c>
      <x:c r="B12" s="10" t="str">
        <x:v>近距投掷兼补给</x:v>
      </x:c>
      <x:c r="C12" s="19" t="n">
        <x:f>'属性成长'!M54</x:f>
        <x:v>78.5</x:v>
      </x:c>
      <x:c r="D12" s="19" t="n">
        <x:f>'属性成长'!M55</x:f>
        <x:v>108</x:v>
      </x:c>
      <x:c r="E12" s="19" t="n">
        <x:f>'属性成长'!M56</x:f>
        <x:v>48</x:v>
      </x:c>
      <x:c r="F12" s="19" t="n">
        <x:f>'属性成长'!M57</x:f>
        <x:v>119</x:v>
      </x:c>
      <x:c r="G12" s="19" t="n">
        <x:f>'属性成长'!M58</x:f>
        <x:v>49</x:v>
      </x:c>
      <x:c r="H12" s="19" t="n">
        <x:f>'属性成长'!M59</x:f>
        <x:v>93</x:v>
      </x:c>
      <x:c r="I12" s="19" t="n">
        <x:f>'属性成长'!M60</x:f>
        <x:v>15</x:v>
      </x:c>
      <x:c r="J12" s="19" t="n">
        <x:f>'属性成长'!M61</x:f>
        <x:v>5</x:v>
      </x:c>
      <x:c r="K12" s="19" t="n">
        <x:f>SUM('属性成长'!F54:F61)</x:f>
        <x:v>30</x:v>
      </x:c>
      <x:c r="L12" s="19" t="n">
        <x:f>IF(MAX('属性成长'!I54:I61)=MIN('属性成长'!I54:I61),1,0)</x:f>
        <x:v>1</x:v>
      </x:c>
      <x:c r="M12" s="19" t="n">
        <x:f>'招募节奏'!N12*'来源说明'!$B$8^10</x:f>
        <x:v>23.34368214090002</x:v>
      </x:c>
      <x:c r="N12" s="10" t="str">
        <x:v>弹药和近距离暴露是代价；决斗者必须副手空且实际投掷</x:v>
      </x:c>
    </x:row>
    <x:row r="13" ht="54" customHeight="1">
      <x:c r="A13" s="3" t="str">
        <x:v>余初九</x:v>
      </x:c>
      <x:c r="B13" s="3" t="str">
        <x:v>轻装救援近战</x:v>
      </x:c>
      <x:c r="C13" s="19" t="n">
        <x:f>'属性成长'!M62</x:f>
        <x:v>71</x:v>
      </x:c>
      <x:c r="D13" s="19" t="n">
        <x:f>'属性成长'!M63</x:f>
        <x:v>99</x:v>
      </x:c>
      <x:c r="E13" s="19" t="n">
        <x:f>'属性成长'!M64</x:f>
        <x:v>58</x:v>
      </x:c>
      <x:c r="F13" s="19" t="n">
        <x:f>'属性成长'!M65</x:f>
        <x:v>127</x:v>
      </x:c>
      <x:c r="G13" s="19" t="n">
        <x:f>'属性成长'!M66</x:f>
        <x:v>85</x:v>
      </x:c>
      <x:c r="H13" s="19" t="n">
        <x:f>'属性成长'!M67</x:f>
        <x:v>36</x:v>
      </x:c>
      <x:c r="I13" s="19" t="n">
        <x:f>'属性成长'!M68</x:f>
        <x:v>32</x:v>
      </x:c>
      <x:c r="J13" s="19" t="n">
        <x:f>'属性成长'!M69</x:f>
        <x:v>5</x:v>
      </x:c>
      <x:c r="K13" s="19" t="n">
        <x:f>SUM('属性成长'!F62:F69)</x:f>
        <x:v>30</x:v>
      </x:c>
      <x:c r="L13" s="19" t="n">
        <x:f>IF(MAX('属性成长'!I62:I69)=MIN('属性成长'!I62:I69),1,0)</x:f>
        <x:v>1</x:v>
      </x:c>
      <x:c r="M13" s="19" t="n">
        <x:f>'招募节奏'!N13*'来源说明'!$B$8^10</x:f>
        <x:v>28.531167061100025</x:v>
      </x:c>
      <x:c r="N13" s="3" t="str">
        <x:v>长战疲劳降低先攻和闪避；不能按裸先攻算永久近防</x:v>
      </x:c>
    </x:row>
    <x:row r="14" ht="54" customHeight="1">
      <x:c r="A14" s="10" t="str">
        <x:v>小鱼贝壳</x:v>
      </x:c>
      <x:c r="B14" s="10" t="str">
        <x:v>高生命双手前锋</x:v>
      </x:c>
      <x:c r="C14" s="19" t="n">
        <x:f>'属性成长'!M70</x:f>
        <x:v>84</x:v>
      </x:c>
      <x:c r="D14" s="19" t="n">
        <x:f>'属性成长'!M71</x:f>
        <x:v>123</x:v>
      </x:c>
      <x:c r="E14" s="19" t="n">
        <x:f>'属性成长'!M72</x:f>
        <x:v>46</x:v>
      </x:c>
      <x:c r="F14" s="19" t="n">
        <x:f>'属性成长'!M73</x:f>
        <x:v>87</x:v>
      </x:c>
      <x:c r="G14" s="19" t="n">
        <x:f>'属性成长'!M74</x:f>
        <x:v>85</x:v>
      </x:c>
      <x:c r="H14" s="19" t="n">
        <x:f>'属性成长'!M75</x:f>
        <x:v>30</x:v>
      </x:c>
      <x:c r="I14" s="19" t="n">
        <x:f>'属性成长'!M76</x:f>
        <x:v>30</x:v>
      </x:c>
      <x:c r="J14" s="19" t="n">
        <x:f>'属性成长'!M77</x:f>
        <x:v>0</x:v>
      </x:c>
      <x:c r="K14" s="19" t="n">
        <x:f>SUM('属性成长'!F70:F77)</x:f>
        <x:v>30</x:v>
      </x:c>
      <x:c r="L14" s="19" t="n">
        <x:f>IF(MAX('属性成长'!I70:I77)=MIN('属性成长'!I70:I77),1,0)</x:f>
        <x:v>1</x:v>
      </x:c>
      <x:c r="M14" s="19" t="n">
        <x:f>'招募节奏'!N14*'来源说明'!$B$8^10</x:f>
        <x:v>31.124909521200028</x:v>
      </x:c>
      <x:c r="N14" s="10" t="str">
        <x:v>高穿透与包围危险；狂战爆发需另投疲劳并替换天赋</x:v>
      </x:c>
    </x:row>
    <x:row r="15" ht="54" customHeight="1">
      <x:c r="A15" s="3" t="str">
        <x:v>王怼怼</x:v>
      </x:c>
      <x:c r="B15" s="3" t="str">
        <x:v>副旗手与接班指挥</x:v>
      </x:c>
      <x:c r="C15" s="19" t="n">
        <x:f>'属性成长'!M78</x:f>
        <x:v>83</x:v>
      </x:c>
      <x:c r="D15" s="19" t="n">
        <x:f>'属性成长'!M79</x:f>
        <x:v>110</x:v>
      </x:c>
      <x:c r="E15" s="19" t="n">
        <x:f>'属性成长'!M80</x:f>
        <x:v>100</x:v>
      </x:c>
      <x:c r="F15" s="19" t="n">
        <x:f>'属性成长'!M81</x:f>
        <x:v>106</x:v>
      </x:c>
      <x:c r="G15" s="19" t="n">
        <x:f>'属性成长'!M82</x:f>
        <x:v>68</x:v>
      </x:c>
      <x:c r="H15" s="19" t="n">
        <x:f>'属性成长'!M83</x:f>
        <x:v>35</x:v>
      </x:c>
      <x:c r="I15" s="19" t="n">
        <x:f>'属性成长'!M84</x:f>
        <x:v>4</x:v>
      </x:c>
      <x:c r="J15" s="19" t="n">
        <x:f>'属性成长'!M85</x:f>
        <x:v>3</x:v>
      </x:c>
      <x:c r="K15" s="19" t="n">
        <x:f>SUM('属性成长'!F78:F85)</x:f>
        <x:v>30</x:v>
      </x:c>
      <x:c r="L15" s="19" t="n">
        <x:f>IF(MAX('属性成长'!I78:I85)=MIN('属性成长'!I78:I85),1,0)</x:f>
        <x:v>1</x:v>
      </x:c>
      <x:c r="M15" s="19" t="n">
        <x:f>'招募节奏'!N15*'来源说明'!$B$8^10</x:f>
        <x:v>31.124909521200028</x:v>
      </x:c>
      <x:c r="N15" s="3" t="str">
        <x:v>不靠纯输出比强弱；亡灵不吃恐惧，旗手倒下会失去士气支撑</x:v>
      </x:c>
    </x:row>
    <x:row r="16" ht="54" customHeight="1">
      <x:c r="A16" s="10" t="str">
        <x:v>老蔡</x:v>
      </x:c>
      <x:c r="B16" s="10" t="str">
        <x:v>中期重甲盾锚</x:v>
      </x:c>
      <x:c r="C16" s="19" t="n">
        <x:f>'属性成长'!M86</x:f>
        <x:v>87</x:v>
      </x:c>
      <x:c r="D16" s="19" t="n">
        <x:f>'属性成长'!M87</x:f>
        <x:v>119</x:v>
      </x:c>
      <x:c r="E16" s="19" t="n">
        <x:f>'属性成长'!M88</x:f>
        <x:v>82</x:v>
      </x:c>
      <x:c r="F16" s="19" t="n">
        <x:f>'属性成长'!M89</x:f>
        <x:v>92</x:v>
      </x:c>
      <x:c r="G16" s="19" t="n">
        <x:f>'属性成长'!M90</x:f>
        <x:v>58</x:v>
      </x:c>
      <x:c r="H16" s="19" t="n">
        <x:f>'属性成长'!M91</x:f>
        <x:v>32</x:v>
      </x:c>
      <x:c r="I16" s="19" t="n">
        <x:f>'属性成长'!M92</x:f>
        <x:v>44</x:v>
      </x:c>
      <x:c r="J16" s="19" t="n">
        <x:f>'属性成长'!M93</x:f>
        <x:v>3</x:v>
      </x:c>
      <x:c r="K16" s="19" t="n">
        <x:f>SUM('属性成长'!F86:F93)</x:f>
        <x:v>30</x:v>
      </x:c>
      <x:c r="L16" s="19" t="n">
        <x:f>IF(MAX('属性成长'!I86:I93)=MIN('属性成长'!I86:I93),1,0)</x:f>
        <x:v>1</x:v>
      </x:c>
      <x:c r="M16" s="19" t="n">
        <x:f>'招募节奏'!N16*'来源说明'!$B$8^10</x:f>
        <x:v>41.49987936160004</x:v>
      </x:c>
      <x:c r="N16" s="10" t="str">
        <x:v>输出低；破盾、疲劳压制、围攻与控制会使其失效</x:v>
      </x:c>
    </x:row>
    <x:row r="17" ht="54" customHeight="1">
      <x:c r="A17" s="3" t="str">
        <x:v>眼子哥</x:v>
      </x:c>
      <x:c r="B17" s="3" t="str">
        <x:v>剑盾反制游击</x:v>
      </x:c>
      <x:c r="C17" s="19" t="n">
        <x:f>'属性成长'!M94</x:f>
        <x:v>78</x:v>
      </x:c>
      <x:c r="D17" s="19" t="n">
        <x:f>'属性成长'!M95</x:f>
        <x:v>104</x:v>
      </x:c>
      <x:c r="E17" s="19" t="n">
        <x:f>'属性成长'!M96</x:f>
        <x:v>64</x:v>
      </x:c>
      <x:c r="F17" s="19" t="n">
        <x:f>'属性成长'!M97</x:f>
        <x:v>104</x:v>
      </x:c>
      <x:c r="G17" s="19" t="n">
        <x:f>'属性成长'!M98</x:f>
        <x:v>85</x:v>
      </x:c>
      <x:c r="H17" s="19" t="n">
        <x:f>'属性成长'!M99</x:f>
        <x:v>38</x:v>
      </x:c>
      <x:c r="I17" s="19" t="n">
        <x:f>'属性成长'!M100</x:f>
        <x:v>33</x:v>
      </x:c>
      <x:c r="J17" s="19" t="n">
        <x:f>'属性成长'!M101</x:f>
        <x:v>4</x:v>
      </x:c>
      <x:c r="K17" s="19" t="n">
        <x:f>SUM('属性成长'!F94:F101)</x:f>
        <x:v>30</x:v>
      </x:c>
      <x:c r="L17" s="19" t="n">
        <x:f>IF(MAX('属性成长'!I94:I101)=MIN('属性成长'!I94:I101),1,0)</x:f>
        <x:v>1</x:v>
      </x:c>
      <x:c r="M17" s="19" t="n">
        <x:f>'招募节奏'!N17*'来源说明'!$B$8^10</x:f>
        <x:v>31.124909521200028</x:v>
      </x:c>
      <x:c r="N17" s="3" t="str">
        <x:v>不要把近防、生命、决心同时让位给输出；破甲弱时换武器</x:v>
      </x:c>
    </x:row>
    <x:row r="18" ht="54" customHeight="1">
      <x:c r="A18" s="10" t="str">
        <x:v>亿口甜筒</x:v>
      </x:c>
      <x:c r="B18" s="10" t="str">
        <x:v>稳健游猎弓手</x:v>
      </x:c>
      <x:c r="C18" s="19" t="n">
        <x:f>'属性成长'!M102</x:f>
        <x:v>75</x:v>
      </x:c>
      <x:c r="D18" s="19" t="n">
        <x:f>'属性成长'!M103</x:f>
        <x:v>110</x:v>
      </x:c>
      <x:c r="E18" s="19" t="n">
        <x:f>'属性成长'!M104</x:f>
        <x:v>63.5</x:v>
      </x:c>
      <x:c r="F18" s="19" t="n">
        <x:f>'属性成长'!M105</x:f>
        <x:v>107</x:v>
      </x:c>
      <x:c r="G18" s="19" t="n">
        <x:f>'属性成长'!M106</x:f>
        <x:v>47</x:v>
      </x:c>
      <x:c r="H18" s="19" t="n">
        <x:f>'属性成长'!M107</x:f>
        <x:v>100</x:v>
      </x:c>
      <x:c r="I18" s="19" t="n">
        <x:f>'属性成长'!M108</x:f>
        <x:v>2</x:v>
      </x:c>
      <x:c r="J18" s="19" t="n">
        <x:f>'属性成长'!M109</x:f>
        <x:v>17</x:v>
      </x:c>
      <x:c r="K18" s="19" t="n">
        <x:f>SUM('属性成长'!F102:F109)</x:f>
        <x:v>30</x:v>
      </x:c>
      <x:c r="L18" s="19" t="n">
        <x:f>IF(MAX('属性成长'!I102:I109)=MIN('属性成长'!I102:I109),1,0)</x:f>
        <x:v>1</x:v>
      </x:c>
      <x:c r="M18" s="19" t="n">
        <x:f>'招募节奏'!N18*'来源说明'!$B$8^10</x:f>
        <x:v>31.124909521200028</x:v>
      </x:c>
      <x:c r="N18" s="10" t="str">
        <x:v>古代亡灵和重盾克制弓；被贴身后应撤离或用备用近战</x:v>
      </x:c>
    </x:row>
    <x:row r="19" ht="54" customHeight="1">
      <x:c r="A19" s="3" t="str">
        <x:v>小宁</x:v>
      </x:c>
      <x:c r="B19" s="3" t="str">
        <x:v>定点穿甲弩手</x:v>
      </x:c>
      <x:c r="C19" s="19" t="n">
        <x:f>'属性成长'!M110</x:f>
        <x:v>76.5</x:v>
      </x:c>
      <x:c r="D19" s="19" t="n">
        <x:f>'属性成长'!M111</x:f>
        <x:v>107</x:v>
      </x:c>
      <x:c r="E19" s="19" t="n">
        <x:f>'属性成长'!M112</x:f>
        <x:v>55</x:v>
      </x:c>
      <x:c r="F19" s="19" t="n">
        <x:f>'属性成长'!M113</x:f>
        <x:v>104</x:v>
      </x:c>
      <x:c r="G19" s="19" t="n">
        <x:f>'属性成长'!M114</x:f>
        <x:v>45</x:v>
      </x:c>
      <x:c r="H19" s="19" t="n">
        <x:f>'属性成长'!M115</x:f>
        <x:v>102</x:v>
      </x:c>
      <x:c r="I19" s="19" t="n">
        <x:f>'属性成长'!M116</x:f>
        <x:v>2</x:v>
      </x:c>
      <x:c r="J19" s="19" t="n">
        <x:f>'属性成长'!M117</x:f>
        <x:v>20</x:v>
      </x:c>
      <x:c r="K19" s="19" t="n">
        <x:f>SUM('属性成长'!F110:F117)</x:f>
        <x:v>30</x:v>
      </x:c>
      <x:c r="L19" s="19" t="n">
        <x:f>IF(MAX('属性成长'!I110:I117)=MIN('属性成长'!I110:I117),1,0)</x:f>
        <x:v>1</x:v>
      </x:c>
      <x:c r="M19" s="19" t="n">
        <x:f>'招募节奏'!N19*'来源说明'!$B$8^10</x:f>
        <x:v>36.31239444140003</x:v>
      </x:c>
      <x:c r="N19" s="3" t="str">
        <x:v>古代亡灵和重盾克制弓；被贴身后应撤离或用备用近战</x:v>
      </x:c>
    </x:row>
    <x:row r="20" ht="54" customHeight="1">
      <x:c r="A20" s="10" t="str">
        <x:v>小胖徐不快乐</x:v>
      </x:c>
      <x:c r="B20" s="10" t="str">
        <x:v>耐力盾斧与破盾</x:v>
      </x:c>
      <x:c r="C20" s="19" t="n">
        <x:f>'属性成长'!M118</x:f>
        <x:v>94</x:v>
      </x:c>
      <x:c r="D20" s="19" t="n">
        <x:f>'属性成长'!M119</x:f>
        <x:v>132</x:v>
      </x:c>
      <x:c r="E20" s="19" t="n">
        <x:f>'属性成长'!M120</x:f>
        <x:v>63</x:v>
      </x:c>
      <x:c r="F20" s="19" t="n">
        <x:f>'属性成长'!M121</x:f>
        <x:v>93</x:v>
      </x:c>
      <x:c r="G20" s="19" t="n">
        <x:f>'属性成长'!M122</x:f>
        <x:v>57</x:v>
      </x:c>
      <x:c r="H20" s="19" t="n">
        <x:f>'属性成长'!M123</x:f>
        <x:v>30</x:v>
      </x:c>
      <x:c r="I20" s="19" t="n">
        <x:f>'属性成长'!M124</x:f>
        <x:v>37</x:v>
      </x:c>
      <x:c r="J20" s="19" t="n">
        <x:f>'属性成长'!M125</x:f>
        <x:v>1</x:v>
      </x:c>
      <x:c r="K20" s="19" t="n">
        <x:f>SUM('属性成长'!F118:F125)</x:f>
        <x:v>30</x:v>
      </x:c>
      <x:c r="L20" s="19" t="n">
        <x:f>IF(MAX('属性成长'!I118:I125)=MIN('属性成长'!I118:I125),1,0)</x:f>
        <x:v>1</x:v>
      </x:c>
      <x:c r="M20" s="19" t="n">
        <x:f>'招募节奏'!N20*'来源说明'!$B$8^10</x:f>
        <x:v>36.31239444140003</x:v>
      </x:c>
      <x:c r="N20" s="10" t="str">
        <x:v>输出低；破盾、疲劳压制、围攻与控制会使其失效</x:v>
      </x:c>
    </x:row>
    <x:row r="21" ht="54" customHeight="1">
      <x:c r="A21" s="3" t="str">
        <x:v>大鹅</x:v>
      </x:c>
      <x:c r="B21" s="3" t="str">
        <x:v>侧翼防远程盾卫</x:v>
      </x:c>
      <x:c r="C21" s="19" t="n">
        <x:f>'属性成长'!M126</x:f>
        <x:v>92</x:v>
      </x:c>
      <x:c r="D21" s="19" t="n">
        <x:f>'属性成长'!M127</x:f>
        <x:v>117</x:v>
      </x:c>
      <x:c r="E21" s="19" t="n">
        <x:f>'属性成长'!M128</x:f>
        <x:v>78</x:v>
      </x:c>
      <x:c r="F21" s="19" t="n">
        <x:f>'属性成长'!M129</x:f>
        <x:v>90</x:v>
      </x:c>
      <x:c r="G21" s="19" t="n">
        <x:f>'属性成长'!M130</x:f>
        <x:v>54</x:v>
      </x:c>
      <x:c r="H21" s="19" t="n">
        <x:f>'属性成长'!M131</x:f>
        <x:v>31</x:v>
      </x:c>
      <x:c r="I21" s="19" t="n">
        <x:f>'属性成长'!M132</x:f>
        <x:v>46</x:v>
      </x:c>
      <x:c r="J21" s="19" t="n">
        <x:f>'属性成长'!M133</x:f>
        <x:v>2</x:v>
      </x:c>
      <x:c r="K21" s="19" t="n">
        <x:f>SUM('属性成长'!F126:F133)</x:f>
        <x:v>30</x:v>
      </x:c>
      <x:c r="L21" s="19" t="n">
        <x:f>IF(MAX('属性成长'!I126:I133)=MIN('属性成长'!I126:I133),1,0)</x:f>
        <x:v>1</x:v>
      </x:c>
      <x:c r="M21" s="19" t="n">
        <x:f>'招募节奏'!N21*'来源说明'!$B$8^10</x:f>
        <x:v>33.71865198130003</x:v>
      </x:c>
      <x:c r="N21" s="3" t="str">
        <x:v>输出低；破盾、疲劳压制、围攻与控制会使其失效</x:v>
      </x:c>
    </x:row>
    <x:row r="22" ht="54" customHeight="1">
      <x:c r="A22" s="10" t="str">
        <x:v>蔓越莓</x:v>
      </x:c>
      <x:c r="B22" s="10" t="str">
        <x:v>集火投掷手</x:v>
      </x:c>
      <x:c r="C22" s="19" t="n">
        <x:f>'属性成长'!M134</x:f>
        <x:v>73</x:v>
      </x:c>
      <x:c r="D22" s="19" t="n">
        <x:f>'属性成长'!M135</x:f>
        <x:v>107</x:v>
      </x:c>
      <x:c r="E22" s="19" t="n">
        <x:f>'属性成长'!M136</x:f>
        <x:v>62</x:v>
      </x:c>
      <x:c r="F22" s="19" t="n">
        <x:f>'属性成长'!M137</x:f>
        <x:v>120</x:v>
      </x:c>
      <x:c r="G22" s="19" t="n">
        <x:f>'属性成长'!M138</x:f>
        <x:v>46</x:v>
      </x:c>
      <x:c r="H22" s="19" t="n">
        <x:f>'属性成长'!M139</x:f>
        <x:v>98</x:v>
      </x:c>
      <x:c r="I22" s="19" t="n">
        <x:f>'属性成长'!M140</x:f>
        <x:v>14</x:v>
      </x:c>
      <x:c r="J22" s="19" t="n">
        <x:f>'属性成长'!M141</x:f>
        <x:v>6</x:v>
      </x:c>
      <x:c r="K22" s="19" t="n">
        <x:f>SUM('属性成长'!F134:F141)</x:f>
        <x:v>30</x:v>
      </x:c>
      <x:c r="L22" s="19" t="n">
        <x:f>IF(MAX('属性成长'!I134:I141)=MIN('属性成长'!I134:I141),1,0)</x:f>
        <x:v>1</x:v>
      </x:c>
      <x:c r="M22" s="19" t="n">
        <x:f>'招募节奏'!N22*'来源说明'!$B$8^10</x:f>
        <x:v>36.31239444140003</x:v>
      </x:c>
      <x:c r="N22" s="10" t="str">
        <x:v>弹药和近距离暴露是代价；决斗者必须副手空且实际投掷</x:v>
      </x:c>
    </x:row>
    <x:row r="23" ht="54" customHeight="1">
      <x:c r="A23" s="3" t="str">
        <x:v>罗一可</x:v>
      </x:c>
      <x:c r="B23" s="3" t="str">
        <x:v>轻装贴身辅助</x:v>
      </x:c>
      <x:c r="C23" s="19" t="n">
        <x:f>'属性成长'!M142</x:f>
        <x:v>70</x:v>
      </x:c>
      <x:c r="D23" s="19" t="n">
        <x:f>'属性成长'!M143</x:f>
        <x:v>106</x:v>
      </x:c>
      <x:c r="E23" s="19" t="n">
        <x:f>'属性成长'!M144</x:f>
        <x:v>52</x:v>
      </x:c>
      <x:c r="F23" s="19" t="n">
        <x:f>'属性成长'!M145</x:f>
        <x:v>133</x:v>
      </x:c>
      <x:c r="G23" s="19" t="n">
        <x:f>'属性成长'!M146</x:f>
        <x:v>83</x:v>
      </x:c>
      <x:c r="H23" s="19" t="n">
        <x:f>'属性成长'!M147</x:f>
        <x:v>38</x:v>
      </x:c>
      <x:c r="I23" s="19" t="n">
        <x:f>'属性成长'!M148</x:f>
        <x:v>30</x:v>
      </x:c>
      <x:c r="J23" s="19" t="n">
        <x:f>'属性成长'!M149</x:f>
        <x:v>4</x:v>
      </x:c>
      <x:c r="K23" s="19" t="n">
        <x:f>SUM('属性成长'!F142:F149)</x:f>
        <x:v>30</x:v>
      </x:c>
      <x:c r="L23" s="19" t="n">
        <x:f>IF(MAX('属性成长'!I142:I149)=MIN('属性成长'!I142:I149),1,0)</x:f>
        <x:v>1</x:v>
      </x:c>
      <x:c r="M23" s="19" t="n">
        <x:f>'招募节奏'!N23*'来源说明'!$B$8^10</x:f>
        <x:v>28.531167061100025</x:v>
      </x:c>
      <x:c r="N23" s="3" t="str">
        <x:v>长战疲劳降低先攻和闪避；不能按裸先攻算永久近防</x:v>
      </x:c>
    </x:row>
    <x:row r="24" ht="54" customHeight="1">
      <x:c r="A24" s="10" t="str">
        <x:v>可可</x:v>
      </x:c>
      <x:c r="B24" s="10" t="str">
        <x:v>贴身保护盾卫</x:v>
      </x:c>
      <x:c r="C24" s="19" t="n">
        <x:f>'属性成长'!M150</x:f>
        <x:v>81</x:v>
      </x:c>
      <x:c r="D24" s="19" t="n">
        <x:f>'属性成长'!M151</x:f>
        <x:v>121.5</x:v>
      </x:c>
      <x:c r="E24" s="19" t="n">
        <x:f>'属性成长'!M152</x:f>
        <x:v>82</x:v>
      </x:c>
      <x:c r="F24" s="19" t="n">
        <x:f>'属性成长'!M153</x:f>
        <x:v>100</x:v>
      </x:c>
      <x:c r="G24" s="19" t="n">
        <x:f>'属性成长'!M154</x:f>
        <x:v>51</x:v>
      </x:c>
      <x:c r="H24" s="19" t="n">
        <x:f>'属性成长'!M155</x:f>
        <x:v>47</x:v>
      </x:c>
      <x:c r="I24" s="19" t="n">
        <x:f>'属性成长'!M156</x:f>
        <x:v>41</x:v>
      </x:c>
      <x:c r="J24" s="19" t="n">
        <x:f>'属性成长'!M157</x:f>
        <x:v>5</x:v>
      </x:c>
      <x:c r="K24" s="19" t="n">
        <x:f>SUM('属性成长'!F150:F157)</x:f>
        <x:v>30</x:v>
      </x:c>
      <x:c r="L24" s="19" t="n">
        <x:f>IF(MAX('属性成长'!I150:I157)=MIN('属性成长'!I150:I157),1,0)</x:f>
        <x:v>1</x:v>
      </x:c>
      <x:c r="M24" s="19" t="n">
        <x:f>'招募节奏'!N24*'来源说明'!$B$8^10</x:f>
        <x:v>36.31239444140003</x:v>
      </x:c>
      <x:c r="N24" s="10" t="str">
        <x:v>输出低；破盾、疲劳压制、围攻与控制会使其失效</x:v>
      </x:c>
    </x:row>
    <x:row r="25" ht="54" customHeight="1">
      <x:c r="A25" s="3" t="str">
        <x:v>余想</x:v>
      </x:c>
      <x:c r="B25" s="3" t="str">
        <x:v>长柄持续输出</x:v>
      </x:c>
      <x:c r="C25" s="19" t="n">
        <x:f>'属性成长'!M158</x:f>
        <x:v>86</x:v>
      </x:c>
      <x:c r="D25" s="19" t="n">
        <x:f>'属性成长'!M159</x:f>
        <x:v>127</x:v>
      </x:c>
      <x:c r="E25" s="19" t="n">
        <x:f>'属性成长'!M160</x:f>
        <x:v>67</x:v>
      </x:c>
      <x:c r="F25" s="19" t="n">
        <x:f>'属性成长'!M161</x:f>
        <x:v>94</x:v>
      </x:c>
      <x:c r="G25" s="19" t="n">
        <x:f>'属性成长'!M162</x:f>
        <x:v>89</x:v>
      </x:c>
      <x:c r="H25" s="19" t="n">
        <x:f>'属性成长'!M163</x:f>
        <x:v>31</x:v>
      </x:c>
      <x:c r="I25" s="19" t="n">
        <x:f>'属性成长'!M164</x:f>
        <x:v>11</x:v>
      </x:c>
      <x:c r="J25" s="19" t="n">
        <x:f>'属性成长'!M165</x:f>
        <x:v>2</x:v>
      </x:c>
      <x:c r="K25" s="19" t="n">
        <x:f>SUM('属性成长'!F158:F165)</x:f>
        <x:v>30</x:v>
      </x:c>
      <x:c r="L25" s="19" t="n">
        <x:f>IF(MAX('属性成长'!I158:I165)=MIN('属性成长'!I158:I165),1,0)</x:f>
        <x:v>1</x:v>
      </x:c>
      <x:c r="M25" s="19" t="n">
        <x:f>'招募节奏'!N25*'来源说明'!$B$8^10</x:f>
        <x:v>36.31239444140003</x:v>
      </x:c>
      <x:c r="N25" s="3" t="str">
        <x:v>狭路站位受限，被突进后低近防；别当全天候前排</x:v>
      </x:c>
    </x:row>
    <x:row r="26" ht="54" customHeight="1">
      <x:c r="A26" s="10" t="str">
        <x:v>童猪</x:v>
      </x:c>
      <x:c r="B26" s="10" t="str">
        <x:v>士气旗手与软控</x:v>
      </x:c>
      <x:c r="C26" s="19" t="n">
        <x:f>'属性成长'!M166</x:f>
        <x:v>91</x:v>
      </x:c>
      <x:c r="D26" s="19" t="n">
        <x:f>'属性成长'!M167</x:f>
        <x:v>110</x:v>
      </x:c>
      <x:c r="E26" s="19" t="n">
        <x:f>'属性成长'!M168</x:f>
        <x:v>98</x:v>
      </x:c>
      <x:c r="F26" s="19" t="n">
        <x:f>'属性成长'!M169</x:f>
        <x:v>102</x:v>
      </x:c>
      <x:c r="G26" s="19" t="n">
        <x:f>'属性成长'!M170</x:f>
        <x:v>73</x:v>
      </x:c>
      <x:c r="H26" s="19" t="n">
        <x:f>'属性成长'!M171</x:f>
        <x:v>35</x:v>
      </x:c>
      <x:c r="I26" s="19" t="n">
        <x:f>'属性成长'!M172</x:f>
        <x:v>4</x:v>
      </x:c>
      <x:c r="J26" s="19" t="n">
        <x:f>'属性成长'!M173</x:f>
        <x:v>3</x:v>
      </x:c>
      <x:c r="K26" s="19" t="n">
        <x:f>SUM('属性成长'!F166:F173)</x:f>
        <x:v>30</x:v>
      </x:c>
      <x:c r="L26" s="19" t="n">
        <x:f>IF(MAX('属性成长'!I166:I173)=MIN('属性成长'!I166:I173),1,0)</x:f>
        <x:v>1</x:v>
      </x:c>
      <x:c r="M26" s="19" t="n">
        <x:f>'招募节奏'!N26*'来源说明'!$B$8^10</x:f>
        <x:v>31.124909521200028</x:v>
      </x:c>
      <x:c r="N26" s="10" t="str">
        <x:v>不靠纯输出比强弱；亡灵不吃恐惧，旗手倒下会失去士气支撑</x:v>
      </x:c>
    </x:row>
    <x:row r="27" ht="54" customHeight="1">
      <x:c r="A27" s="3" t="str">
        <x:v>美伢</x:v>
      </x:c>
      <x:c r="B27" s="3" t="str">
        <x:v>轻装位移决斗</x:v>
      </x:c>
      <x:c r="C27" s="19" t="n">
        <x:f>'属性成长'!M174</x:f>
        <x:v>73</x:v>
      </x:c>
      <x:c r="D27" s="19" t="n">
        <x:f>'属性成长'!M175</x:f>
        <x:v>105</x:v>
      </x:c>
      <x:c r="E27" s="19" t="n">
        <x:f>'属性成长'!M176</x:f>
        <x:v>52</x:v>
      </x:c>
      <x:c r="F27" s="19" t="n">
        <x:f>'属性成长'!M177</x:f>
        <x:v>133</x:v>
      </x:c>
      <x:c r="G27" s="19" t="n">
        <x:f>'属性成长'!M178</x:f>
        <x:v>86</x:v>
      </x:c>
      <x:c r="H27" s="19" t="n">
        <x:f>'属性成长'!M179</x:f>
        <x:v>33</x:v>
      </x:c>
      <x:c r="I27" s="19" t="n">
        <x:f>'属性成长'!M180</x:f>
        <x:v>26</x:v>
      </x:c>
      <x:c r="J27" s="19" t="n">
        <x:f>'属性成长'!M181</x:f>
        <x:v>3</x:v>
      </x:c>
      <x:c r="K27" s="19" t="n">
        <x:f>SUM('属性成长'!F174:F181)</x:f>
        <x:v>30</x:v>
      </x:c>
      <x:c r="L27" s="19" t="n">
        <x:f>IF(MAX('属性成长'!I174:I181)=MIN('属性成长'!I174:I181),1,0)</x:f>
        <x:v>1</x:v>
      </x:c>
      <x:c r="M27" s="19" t="n">
        <x:f>'招募节奏'!N27*'来源说明'!$B$8^10</x:f>
        <x:v>36.31239444140003</x:v>
      </x:c>
      <x:c r="N27" s="3" t="str">
        <x:v>长战疲劳降低先攻和闪避；不能按裸先攻算永久近防</x:v>
      </x:c>
    </x:row>
    <x:row r="28" ht="54" customHeight="1">
      <x:c r="A28" s="10" t="str">
        <x:v>玩蛇</x:v>
      </x:c>
      <x:c r="B28" s="10" t="str">
        <x:v>单手反制决斗</x:v>
      </x:c>
      <x:c r="C28" s="19" t="n">
        <x:f>'属性成长'!M182</x:f>
        <x:v>75</x:v>
      </x:c>
      <x:c r="D28" s="19" t="n">
        <x:f>'属性成长'!M183</x:f>
        <x:v>100</x:v>
      </x:c>
      <x:c r="E28" s="19" t="n">
        <x:f>'属性成长'!M184</x:f>
        <x:v>54</x:v>
      </x:c>
      <x:c r="F28" s="19" t="n">
        <x:f>'属性成长'!M185</x:f>
        <x:v>117</x:v>
      </x:c>
      <x:c r="G28" s="19" t="n">
        <x:f>'属性成长'!M186</x:f>
        <x:v>92</x:v>
      </x:c>
      <x:c r="H28" s="19" t="n">
        <x:f>'属性成长'!M187</x:f>
        <x:v>31</x:v>
      </x:c>
      <x:c r="I28" s="19" t="n">
        <x:f>'属性成长'!M188</x:f>
        <x:v>30</x:v>
      </x:c>
      <x:c r="J28" s="19" t="n">
        <x:f>'属性成长'!M189</x:f>
        <x:v>3</x:v>
      </x:c>
      <x:c r="K28" s="19" t="n">
        <x:f>SUM('属性成长'!F182:F189)</x:f>
        <x:v>30</x:v>
      </x:c>
      <x:c r="L28" s="19" t="n">
        <x:f>IF(MAX('属性成长'!I182:I189)=MIN('属性成长'!I182:I189),1,0)</x:f>
        <x:v>1</x:v>
      </x:c>
      <x:c r="M28" s="19" t="n">
        <x:f>'招募节奏'!N28*'来源说明'!$B$8^10</x:f>
        <x:v>38.906136901500034</x:v>
      </x:c>
      <x:c r="N28" s="10" t="str">
        <x:v>不要把近防、生命、决心同时让位给输出；破甲弱时换武器</x:v>
      </x:c>
    </x:row>
    <x:row r="29" ht="54" customHeight="1">
      <x:c r="A29" s="3" t="str">
        <x:v>涂涂</x:v>
      </x:c>
      <x:c r="B29" s="3" t="str">
        <x:v>救援旗手</x:v>
      </x:c>
      <x:c r="C29" s="19" t="n">
        <x:f>'属性成长'!M190</x:f>
        <x:v>85</x:v>
      </x:c>
      <x:c r="D29" s="19" t="n">
        <x:f>'属性成长'!M191</x:f>
        <x:v>118</x:v>
      </x:c>
      <x:c r="E29" s="19" t="n">
        <x:f>'属性成长'!M192</x:f>
        <x:v>101</x:v>
      </x:c>
      <x:c r="F29" s="19" t="n">
        <x:f>'属性成长'!M193</x:f>
        <x:v>100</x:v>
      </x:c>
      <x:c r="G29" s="19" t="n">
        <x:f>'属性成长'!M194</x:f>
        <x:v>67</x:v>
      </x:c>
      <x:c r="H29" s="19" t="n">
        <x:f>'属性成长'!M195</x:f>
        <x:v>36</x:v>
      </x:c>
      <x:c r="I29" s="19" t="n">
        <x:f>'属性成长'!M196</x:f>
        <x:v>4</x:v>
      </x:c>
      <x:c r="J29" s="19" t="n">
        <x:f>'属性成长'!M197</x:f>
        <x:v>3</x:v>
      </x:c>
      <x:c r="K29" s="19" t="n">
        <x:f>SUM('属性成长'!F190:F197)</x:f>
        <x:v>30</x:v>
      </x:c>
      <x:c r="L29" s="19" t="n">
        <x:f>IF(MAX('属性成长'!I190:I197)=MIN('属性成长'!I190:I197),1,0)</x:f>
        <x:v>1</x:v>
      </x:c>
      <x:c r="M29" s="19" t="n">
        <x:f>'招募节奏'!N29*'来源说明'!$B$8^10</x:f>
        <x:v>31.124909521200028</x:v>
      </x:c>
      <x:c r="N29" s="3" t="str">
        <x:v>不靠纯输出比强弱；亡灵不吃恐惧，旗手倒下会失去士气支撑</x:v>
      </x:c>
    </x:row>
    <x:row r="30" ht="54" customHeight="1">
      <x:c r="A30" s="10" t="str">
        <x:v>奶盖</x:v>
      </x:c>
      <x:c r="B30" s="10" t="str">
        <x:v>嘲讽盾卫兼副投掷</x:v>
      </x:c>
      <x:c r="C30" s="19" t="n">
        <x:f>'属性成长'!M198</x:f>
        <x:v>85.5</x:v>
      </x:c>
      <x:c r="D30" s="19" t="n">
        <x:f>'属性成长'!M199</x:f>
        <x:v>111</x:v>
      </x:c>
      <x:c r="E30" s="19" t="n">
        <x:f>'属性成长'!M200</x:f>
        <x:v>55</x:v>
      </x:c>
      <x:c r="F30" s="19" t="n">
        <x:f>'属性成长'!M201</x:f>
        <x:v>104</x:v>
      </x:c>
      <x:c r="G30" s="19" t="n">
        <x:f>'属性成长'!M202</x:f>
        <x:v>51</x:v>
      </x:c>
      <x:c r="H30" s="19" t="n">
        <x:f>'属性成长'!M203</x:f>
        <x:v>70</x:v>
      </x:c>
      <x:c r="I30" s="19" t="n">
        <x:f>'属性成长'!M204</x:f>
        <x:v>36</x:v>
      </x:c>
      <x:c r="J30" s="19" t="n">
        <x:f>'属性成长'!M205</x:f>
        <x:v>3</x:v>
      </x:c>
      <x:c r="K30" s="19" t="n">
        <x:f>SUM('属性成长'!F198:F205)</x:f>
        <x:v>30</x:v>
      </x:c>
      <x:c r="L30" s="19" t="n">
        <x:f>IF(MAX('属性成长'!I198:I205)=MIN('属性成长'!I198:I205),1,0)</x:f>
        <x:v>1</x:v>
      </x:c>
      <x:c r="M30" s="19" t="n">
        <x:f>'招募节奏'!N30*'来源说明'!$B$8^10</x:f>
        <x:v>28.531167061100025</x:v>
      </x:c>
      <x:c r="N30" s="10" t="str">
        <x:v>拿盾时没有双手握持和决斗收益；不能把坦克与纯投手峰值同时算上</x:v>
      </x:c>
    </x:row>
    <x:row r="31" ht="54" customHeight="1">
      <x:c r="A31" s="3" t="str">
        <x:v>小杰</x:v>
      </x:c>
      <x:c r="B31" s="3" t="str">
        <x:v>解网与近战工具位</x:v>
      </x:c>
      <x:c r="C31" s="19" t="n">
        <x:f>'属性成长'!M206</x:f>
        <x:v>78</x:v>
      </x:c>
      <x:c r="D31" s="19" t="n">
        <x:f>'属性成长'!M207</x:f>
        <x:v>126</x:v>
      </x:c>
      <x:c r="E31" s="19" t="n">
        <x:f>'属性成长'!M208</x:f>
        <x:v>53</x:v>
      </x:c>
      <x:c r="F31" s="19" t="n">
        <x:f>'属性成长'!M209</x:f>
        <x:v>99</x:v>
      </x:c>
      <x:c r="G31" s="19" t="n">
        <x:f>'属性成长'!M210</x:f>
        <x:v>81</x:v>
      </x:c>
      <x:c r="H31" s="19" t="n">
        <x:f>'属性成长'!M211</x:f>
        <x:v>32</x:v>
      </x:c>
      <x:c r="I31" s="19" t="n">
        <x:f>'属性成长'!M212</x:f>
        <x:v>25</x:v>
      </x:c>
      <x:c r="J31" s="19" t="n">
        <x:f>'属性成长'!M213</x:f>
        <x:v>2</x:v>
      </x:c>
      <x:c r="K31" s="19" t="n">
        <x:f>SUM('属性成长'!F206:F213)</x:f>
        <x:v>30</x:v>
      </x:c>
      <x:c r="L31" s="19" t="n">
        <x:f>IF(MAX('属性成长'!I206:I213)=MIN('属性成长'!I206:I213),1,0)</x:f>
        <x:v>1</x:v>
      </x:c>
      <x:c r="M31" s="19" t="n">
        <x:f>'招募节奏'!N31*'来源说明'!$B$8^10</x:f>
        <x:v>31.124909521200028</x:v>
      </x:c>
      <x:c r="N31" s="3" t="str">
        <x:v>高穿透与包围危险；狂战爆发需另投疲劳并替换天赋</x:v>
      </x:c>
    </x:row>
    <x:row r="32" ht="54" customHeight="1">
      <x:c r="A32" s="10" t="str">
        <x:v>bula</x:v>
      </x:c>
      <x:c r="B32" s="10" t="str">
        <x:v>投掷与军需补位</x:v>
      </x:c>
      <x:c r="C32" s="19" t="n">
        <x:f>'属性成长'!M214</x:f>
        <x:v>81.5</x:v>
      </x:c>
      <x:c r="D32" s="19" t="n">
        <x:f>'属性成长'!M215</x:f>
        <x:v>112</x:v>
      </x:c>
      <x:c r="E32" s="19" t="n">
        <x:f>'属性成长'!M216</x:f>
        <x:v>63</x:v>
      </x:c>
      <x:c r="F32" s="19" t="n">
        <x:f>'属性成长'!M217</x:f>
        <x:v>102</x:v>
      </x:c>
      <x:c r="G32" s="19" t="n">
        <x:f>'属性成长'!M218</x:f>
        <x:v>48</x:v>
      </x:c>
      <x:c r="H32" s="19" t="n">
        <x:f>'属性成长'!M219</x:f>
        <x:v>93</x:v>
      </x:c>
      <x:c r="I32" s="19" t="n">
        <x:f>'属性成长'!M220</x:f>
        <x:v>17</x:v>
      </x:c>
      <x:c r="J32" s="19" t="n">
        <x:f>'属性成长'!M221</x:f>
        <x:v>5</x:v>
      </x:c>
      <x:c r="K32" s="19" t="n">
        <x:f>SUM('属性成长'!F214:F221)</x:f>
        <x:v>30</x:v>
      </x:c>
      <x:c r="L32" s="19" t="n">
        <x:f>IF(MAX('属性成长'!I214:I221)=MIN('属性成长'!I214:I221),1,0)</x:f>
        <x:v>1</x:v>
      </x:c>
      <x:c r="M32" s="19" t="n">
        <x:f>'招募节奏'!N32*'来源说明'!$B$8^10</x:f>
        <x:v>28.531167061100025</x:v>
      </x:c>
      <x:c r="N32" s="10" t="str">
        <x:v>弹药和近距离暴露是代价；决斗者必须副手空且实际投掷</x:v>
      </x:c>
    </x:row>
    <x:row r="33" ht="54" customHeight="1">
      <x:c r="A33" s="3" t="str">
        <x:v>苏袜</x:v>
      </x:c>
      <x:c r="B33" s="3" t="str">
        <x:v>先攻牵制决斗</x:v>
      </x:c>
      <x:c r="C33" s="19" t="n">
        <x:f>'属性成长'!M222</x:f>
        <x:v>69</x:v>
      </x:c>
      <x:c r="D33" s="19" t="n">
        <x:f>'属性成长'!M223</x:f>
        <x:v>102</x:v>
      </x:c>
      <x:c r="E33" s="19" t="n">
        <x:f>'属性成长'!M224</x:f>
        <x:v>50</x:v>
      </x:c>
      <x:c r="F33" s="19" t="n">
        <x:f>'属性成长'!M225</x:f>
        <x:v>143</x:v>
      </x:c>
      <x:c r="G33" s="19" t="n">
        <x:f>'属性成长'!M226</x:f>
        <x:v>81</x:v>
      </x:c>
      <x:c r="H33" s="19" t="n">
        <x:f>'属性成长'!M227</x:f>
        <x:v>42</x:v>
      </x:c>
      <x:c r="I33" s="19" t="n">
        <x:f>'属性成长'!M228</x:f>
        <x:v>24</x:v>
      </x:c>
      <x:c r="J33" s="19" t="n">
        <x:f>'属性成长'!M229</x:f>
        <x:v>5</x:v>
      </x:c>
      <x:c r="K33" s="19" t="n">
        <x:f>SUM('属性成长'!F222:F229)</x:f>
        <x:v>30</x:v>
      </x:c>
      <x:c r="L33" s="19" t="n">
        <x:f>IF(MAX('属性成长'!I222:I229)=MIN('属性成长'!I222:I229),1,0)</x:f>
        <x:v>1</x:v>
      </x:c>
      <x:c r="M33" s="19" t="n">
        <x:f>'招募节奏'!N33*'来源说明'!$B$8^10</x:f>
        <x:v>36.31239444140003</x:v>
      </x:c>
      <x:c r="N33" s="3" t="str">
        <x:v>长战疲劳降低先攻和闪避；不能按裸先攻算永久近防</x:v>
      </x:c>
    </x:row>
    <x:row r="34" ht="54" customHeight="1">
      <x:c r="A34" s="10" t="str">
        <x:v>千涵</x:v>
      </x:c>
      <x:c r="B34" s="10" t="str">
        <x:v>突进矛兵</x:v>
      </x:c>
      <x:c r="C34" s="19" t="n">
        <x:f>'属性成长'!M230</x:f>
        <x:v>78</x:v>
      </x:c>
      <x:c r="D34" s="19" t="n">
        <x:f>'属性成长'!M231</x:f>
        <x:v>106</x:v>
      </x:c>
      <x:c r="E34" s="19" t="n">
        <x:f>'属性成长'!M232</x:f>
        <x:v>56</x:v>
      </x:c>
      <x:c r="F34" s="19" t="n">
        <x:f>'属性成长'!M233</x:f>
        <x:v>116</x:v>
      </x:c>
      <x:c r="G34" s="19" t="n">
        <x:f>'属性成长'!M234</x:f>
        <x:v>92</x:v>
      </x:c>
      <x:c r="H34" s="19" t="n">
        <x:f>'属性成长'!M235</x:f>
        <x:v>32</x:v>
      </x:c>
      <x:c r="I34" s="19" t="n">
        <x:f>'属性成长'!M236</x:f>
        <x:v>31</x:v>
      </x:c>
      <x:c r="J34" s="19" t="n">
        <x:f>'属性成长'!M237</x:f>
        <x:v>3</x:v>
      </x:c>
      <x:c r="K34" s="19" t="n">
        <x:f>SUM('属性成长'!F230:F237)</x:f>
        <x:v>30</x:v>
      </x:c>
      <x:c r="L34" s="19" t="n">
        <x:f>IF(MAX('属性成长'!I230:I237)=MIN('属性成长'!I230:I237),1,0)</x:f>
        <x:v>1</x:v>
      </x:c>
      <x:c r="M34" s="19" t="n">
        <x:f>'招募节奏'!N34*'来源说明'!$B$8^10</x:f>
        <x:v>36.31239444140003</x:v>
      </x:c>
      <x:c r="N34" s="10" t="str">
        <x:v>不要把近防、生命、决心同时让位给输出；破甲弱时换武器</x:v>
      </x:c>
    </x:row>
    <x:row r="35" ht="54" customHeight="1">
      <x:c r="A35" s="3" t="str">
        <x:v>王大芷</x:v>
      </x:c>
      <x:c r="B35" s="3" t="str">
        <x:v>站位防线盾卫</x:v>
      </x:c>
      <x:c r="C35" s="19" t="n">
        <x:f>'属性成长'!M238</x:f>
        <x:v>87</x:v>
      </x:c>
      <x:c r="D35" s="19" t="n">
        <x:f>'属性成长'!M239</x:f>
        <x:v>125.5</x:v>
      </x:c>
      <x:c r="E35" s="19" t="n">
        <x:f>'属性成长'!M240</x:f>
        <x:v>76.5</x:v>
      </x:c>
      <x:c r="F35" s="19" t="n">
        <x:f>'属性成长'!M241</x:f>
        <x:v>97</x:v>
      </x:c>
      <x:c r="G35" s="19" t="n">
        <x:f>'属性成长'!M242</x:f>
        <x:v>55</x:v>
      </x:c>
      <x:c r="H35" s="19" t="n">
        <x:f>'属性成长'!M243</x:f>
        <x:v>30</x:v>
      </x:c>
      <x:c r="I35" s="19" t="n">
        <x:f>'属性成长'!M244</x:f>
        <x:v>38</x:v>
      </x:c>
      <x:c r="J35" s="19" t="n">
        <x:f>'属性成长'!M245</x:f>
        <x:v>3</x:v>
      </x:c>
      <x:c r="K35" s="19" t="n">
        <x:f>SUM('属性成长'!F238:F245)</x:f>
        <x:v>30</x:v>
      </x:c>
      <x:c r="L35" s="19" t="n">
        <x:f>IF(MAX('属性成长'!I238:I245)=MIN('属性成长'!I238:I245),1,0)</x:f>
        <x:v>1</x:v>
      </x:c>
      <x:c r="M35" s="19" t="n">
        <x:f>'招募节奏'!N35*'来源说明'!$B$8^10</x:f>
        <x:v>36.31239444140003</x:v>
      </x:c>
      <x:c r="N35" s="3" t="str">
        <x:v>输出低；破盾、疲劳压制、围攻与控制会使其失效</x:v>
      </x:c>
    </x:row>
    <x:row r="36" ht="54" customHeight="1">
      <x:c r="A36" s="10" t="str">
        <x:v>瑶瑶牙</x:v>
      </x:c>
      <x:c r="B36" s="10" t="str">
        <x:v>低先攻破甲双手斧</x:v>
      </x:c>
      <x:c r="C36" s="19" t="n">
        <x:f>'属性成长'!M246</x:f>
        <x:v>76</x:v>
      </x:c>
      <x:c r="D36" s="19" t="n">
        <x:f>'属性成长'!M247</x:f>
        <x:v>129</x:v>
      </x:c>
      <x:c r="E36" s="19" t="n">
        <x:f>'属性成长'!M248</x:f>
        <x:v>48</x:v>
      </x:c>
      <x:c r="F36" s="19" t="n">
        <x:f>'属性成长'!M249</x:f>
        <x:v>84</x:v>
      </x:c>
      <x:c r="G36" s="19" t="n">
        <x:f>'属性成长'!M250</x:f>
        <x:v>94</x:v>
      </x:c>
      <x:c r="H36" s="19" t="n">
        <x:f>'属性成长'!M251</x:f>
        <x:v>28</x:v>
      </x:c>
      <x:c r="I36" s="19" t="n">
        <x:f>'属性成长'!M252</x:f>
        <x:v>29</x:v>
      </x:c>
      <x:c r="J36" s="19" t="n">
        <x:f>'属性成长'!M253</x:f>
        <x:v>0</x:v>
      </x:c>
      <x:c r="K36" s="19" t="n">
        <x:f>SUM('属性成长'!F246:F253)</x:f>
        <x:v>30</x:v>
      </x:c>
      <x:c r="L36" s="19" t="n">
        <x:f>IF(MAX('属性成长'!I246:I253)=MIN('属性成长'!I246:I253),1,0)</x:f>
        <x:v>1</x:v>
      </x:c>
      <x:c r="M36" s="19" t="n">
        <x:f>'招募节奏'!N36*'来源说明'!$B$8^10</x:f>
        <x:v>41.49987936160004</x:v>
      </x:c>
      <x:c r="N36" s="10" t="str">
        <x:v>高穿透与包围危险；狂战爆发需另投疲劳并替换天赋</x:v>
      </x:c>
    </x:row>
    <x:row r="37" ht="54" customHeight="1">
      <x:c r="A37" s="3" t="str">
        <x:v>羊咩咩</x:v>
      </x:c>
      <x:c r="B37" s="3" t="str">
        <x:v>救援长柄与侧翼补位</x:v>
      </x:c>
      <x:c r="C37" s="19" t="n">
        <x:f>'属性成长'!M254</x:f>
        <x:v>98</x:v>
      </x:c>
      <x:c r="D37" s="19" t="n">
        <x:f>'属性成长'!M255</x:f>
        <x:v>117</x:v>
      </x:c>
      <x:c r="E37" s="19" t="n">
        <x:f>'属性成长'!M256</x:f>
        <x:v>66</x:v>
      </x:c>
      <x:c r="F37" s="19" t="n">
        <x:f>'属性成长'!M257</x:f>
        <x:v>105</x:v>
      </x:c>
      <x:c r="G37" s="19" t="n">
        <x:f>'属性成长'!M258</x:f>
        <x:v>81</x:v>
      </x:c>
      <x:c r="H37" s="19" t="n">
        <x:f>'属性成长'!M259</x:f>
        <x:v>35</x:v>
      </x:c>
      <x:c r="I37" s="19" t="n">
        <x:f>'属性成长'!M260</x:f>
        <x:v>9</x:v>
      </x:c>
      <x:c r="J37" s="19" t="n">
        <x:f>'属性成长'!M261</x:f>
        <x:v>5</x:v>
      </x:c>
      <x:c r="K37" s="19" t="n">
        <x:f>SUM('属性成长'!F254:F261)</x:f>
        <x:v>30</x:v>
      </x:c>
      <x:c r="L37" s="19" t="n">
        <x:f>IF(MAX('属性成长'!I254:I261)=MIN('属性成长'!I254:I261),1,0)</x:f>
        <x:v>1</x:v>
      </x:c>
      <x:c r="M37" s="19" t="n">
        <x:f>'招募节奏'!N37*'来源说明'!$B$8^10</x:f>
        <x:v>31.124909521200028</x:v>
      </x:c>
      <x:c r="N37" s="3" t="str">
        <x:v>狭路站位受限，被突进后低近防；别当全天候前排</x:v>
      </x:c>
    </x:row>
    <x:row r="38" ht="54" customHeight="1">
      <x:c r="A38" s="10" t="str">
        <x:v>宋暖阳</x:v>
      </x:c>
      <x:c r="B38" s="10" t="str">
        <x:v>中期通用救火队员</x:v>
      </x:c>
      <x:c r="C38" s="19" t="n">
        <x:f>'属性成长'!M262</x:f>
        <x:v>85</x:v>
      </x:c>
      <x:c r="D38" s="19" t="n">
        <x:f>'属性成长'!M263</x:f>
        <x:v>104</x:v>
      </x:c>
      <x:c r="E38" s="19" t="n">
        <x:f>'属性成长'!M264</x:f>
        <x:v>67</x:v>
      </x:c>
      <x:c r="F38" s="19" t="n">
        <x:f>'属性成长'!M265</x:f>
        <x:v>110</x:v>
      </x:c>
      <x:c r="G38" s="19" t="n">
        <x:f>'属性成长'!M266</x:f>
        <x:v>84</x:v>
      </x:c>
      <x:c r="H38" s="19" t="n">
        <x:f>'属性成长'!M267</x:f>
        <x:v>36</x:v>
      </x:c>
      <x:c r="I38" s="19" t="n">
        <x:f>'属性成长'!M268</x:f>
        <x:v>26</x:v>
      </x:c>
      <x:c r="J38" s="19" t="n">
        <x:f>'属性成长'!M269</x:f>
        <x:v>5</x:v>
      </x:c>
      <x:c r="K38" s="19" t="n">
        <x:f>SUM('属性成长'!F262:F269)</x:f>
        <x:v>30</x:v>
      </x:c>
      <x:c r="L38" s="19" t="n">
        <x:f>IF(MAX('属性成长'!I262:I269)=MIN('属性成长'!I262:I269),1,0)</x:f>
        <x:v>1</x:v>
      </x:c>
      <x:c r="M38" s="19" t="n">
        <x:f>'招募节奏'!N38*'来源说明'!$B$8^10</x:f>
        <x:v>31.124909521200028</x:v>
      </x:c>
      <x:c r="N38" s="10" t="str">
        <x:v>不要把近防、生命、决心同时让位给输出；破甲弱时换武器</x:v>
      </x:c>
    </x:row>
    <x:row r="39" ht="54" customHeight="1">
      <x:c r="A39" s="3" t="str">
        <x:v>溺水小龟</x:v>
      </x:c>
      <x:c r="B39" s="3" t="str">
        <x:v>无头盔特化盾卫</x:v>
      </x:c>
      <x:c r="C39" s="19" t="n">
        <x:f>'属性成长'!M270</x:f>
        <x:v>78</x:v>
      </x:c>
      <x:c r="D39" s="19" t="n">
        <x:f>'属性成长'!M271</x:f>
        <x:v>125.5</x:v>
      </x:c>
      <x:c r="E39" s="19" t="n">
        <x:f>'属性成长'!M272</x:f>
        <x:v>73</x:v>
      </x:c>
      <x:c r="F39" s="19" t="n">
        <x:f>'属性成长'!M273</x:f>
        <x:v>93</x:v>
      </x:c>
      <x:c r="G39" s="19" t="n">
        <x:f>'属性成长'!M274</x:f>
        <x:v>49</x:v>
      </x:c>
      <x:c r="H39" s="19" t="n">
        <x:f>'属性成长'!M275</x:f>
        <x:v>40</x:v>
      </x:c>
      <x:c r="I39" s="19" t="n">
        <x:f>'属性成长'!M276</x:f>
        <x:v>38</x:v>
      </x:c>
      <x:c r="J39" s="19" t="n">
        <x:f>'属性成长'!M277</x:f>
        <x:v>5</x:v>
      </x:c>
      <x:c r="K39" s="19" t="n">
        <x:f>SUM('属性成长'!F270:F277)</x:f>
        <x:v>30</x:v>
      </x:c>
      <x:c r="L39" s="19" t="n">
        <x:f>IF(MAX('属性成长'!I270:I277)=MIN('属性成长'!I270:I277),1,0)</x:f>
        <x:v>1</x:v>
      </x:c>
      <x:c r="M39" s="19" t="n">
        <x:f>'招募节奏'!N39*'来源说明'!$B$8^10</x:f>
        <x:v>41.49987936160004</x:v>
      </x:c>
      <x:c r="N39" s="3" t="str">
        <x:v>输出低；破盾、疲劳压制、围攻与控制会使其失效</x:v>
      </x:c>
    </x:row>
  </x:sheetData>
  <x:conditionalFormatting sqref="K6:K39">
    <x:cfRule type="cellIs" dxfId="0" priority="1" operator="notEqual">
      <x:formula>30</x:formula>
    </x:cfRule>
  </x:conditionalFormatting>
  <x:conditionalFormatting sqref="L6:L39">
    <x:cfRule type="cellIs" dxfId="1" priority="2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f98bfd1f1a424e"/>
  </x:tableParts>
</x:worksheet>
</file>

<file path=xl/worksheets/sheet5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62" hidden="0" customWidth="1"/>
    <x:col min="4" max="4" width="23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7" hidden="0" customWidth="1"/>
    <x:col min="10" max="10" width="14" hidden="0" customWidth="1"/>
    <x:col min="11" max="11" width="60" hidden="0" customWidth="1"/>
  </x:cols>
  <x:sheetData>
    <x:row r="1" ht="36" customHeight="1">
      <x:c r="A1" s="5" t="str">
        <x:v>入队装备与实际负重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7" t="str">
        <x:v>物品值来自本机原版；包内标枪半负重/小刀零负重仅适用此配置。小龟禁止头盔；阿飞另配电子烟。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6" customHeight="1">
      <x:c r="A5" s="9" t="str">
        <x:v>人物</x:v>
      </x:c>
      <x:c r="B5" s="9" t="str">
        <x:v>ID</x:v>
      </x:c>
      <x:c r="C5" s="9" t="str">
        <x:v>装备栏</x:v>
      </x:c>
      <x:c r="D5" s="9" t="str">
        <x:v>包内</x:v>
      </x:c>
      <x:c r="E5" s="9" t="str">
        <x:v>身甲</x:v>
      </x:c>
      <x:c r="F5" s="9" t="str">
        <x:v>头甲</x:v>
      </x:c>
      <x:c r="G5" s="9" t="str">
        <x:v>装备疲劳</x:v>
      </x:c>
      <x:c r="H5" s="9" t="str">
        <x:v>包内疲劳</x:v>
      </x:c>
      <x:c r="I5" s="9" t="str">
        <x:v>一级可用疲劳</x:v>
      </x:c>
      <x:c r="J5" s="9" t="str">
        <x:v>装备原价</x:v>
      </x:c>
      <x:c r="K5" s="9" t="str">
        <x:v>终局换装方向</x:v>
      </x:c>
    </x:row>
    <x:row r="6" ht="58" customHeight="1">
      <x:c r="A6" s="10" t="str">
        <x:v>阿飞</x:v>
      </x:c>
      <x:c r="B6" s="10" t="str">
        <x:v>afei</x:v>
      </x:c>
      <x:c r="C6" s="10" t="str">
        <x:v>民兵矛、填充罩袍、兜帽、木盾</x:v>
      </x:c>
      <x:c r="D6" s="10" t="str">
        <x:v>小刀</x:v>
      </x:c>
      <x:c r="E6" s="24" t="n">
        <x:v>50</x:v>
      </x:c>
      <x:c r="F6" s="24" t="n">
        <x:v>30</x:v>
      </x:c>
      <x:c r="G6" s="24" t="n">
        <x:v>20</x:v>
      </x:c>
      <x:c r="H6" s="24" t="n">
        <x:v>0</x:v>
      </x:c>
      <x:c r="I6" s="19" t="n">
        <x:f>'属性成长'!D7-G6-H6</x:f>
        <x:v>74</x:v>
      </x:c>
      <x:c r="J6" s="24" t="n">
        <x:v>440</x:v>
      </x:c>
      <x:c r="K6" s="10" t="str">
        <x:v>单手剑/锤决斗，或双手锤低耗</x:v>
      </x:c>
    </x:row>
    <x:row r="7" ht="58" customHeight="1">
      <x:c r="A7" s="3" t="str">
        <x:v>王大谋</x:v>
      </x:c>
      <x:c r="B7" s="3" t="str">
        <x:v>damou</x:v>
      </x:c>
      <x:c r="C7" s="3" t="str">
        <x:v>民兵矛、填充皮甲、填充帽、木盾</x:v>
      </x:c>
      <x:c r="D7" s="3" t="str">
        <x:v>小刀</x:v>
      </x:c>
      <x:c r="E7" s="25" t="n">
        <x:v>80</x:v>
      </x:c>
      <x:c r="F7" s="25" t="n">
        <x:v>40</x:v>
      </x:c>
      <x:c r="G7" s="25" t="n">
        <x:v>25</x:v>
      </x:c>
      <x:c r="H7" s="25" t="n">
        <x:v>0</x:v>
      </x:c>
      <x:c r="I7" s="19" t="n">
        <x:f>'属性成长'!D15-G7-H7</x:f>
        <x:v>75</x:v>
      </x:c>
      <x:c r="J7" s="25" t="n">
        <x:v>580</x:v>
      </x:c>
      <x:c r="K7" s="3" t="str">
        <x:v>矛/单手锤+圆盾；远程压力换鸢盾</x:v>
      </x:c>
    </x:row>
    <x:row r="8" ht="58" customHeight="1">
      <x:c r="A8" s="10" t="str">
        <x:v>午夜抹抹茶</x:v>
      </x:c>
      <x:c r="B8" s="10" t="str">
        <x:v>mocha</x:v>
      </x:c>
      <x:c r="C8" s="10" t="str">
        <x:v>轻弩、弩矢袋、填充罩袍、兜帽</x:v>
      </x:c>
      <x:c r="D8" s="10" t="str">
        <x:v>小刀</x:v>
      </x:c>
      <x:c r="E8" s="24" t="n">
        <x:v>50</x:v>
      </x:c>
      <x:c r="F8" s="24" t="n">
        <x:v>30</x:v>
      </x:c>
      <x:c r="G8" s="24" t="n">
        <x:v>10</x:v>
      </x:c>
      <x:c r="H8" s="24" t="n">
        <x:v>0</x:v>
      </x:c>
      <x:c r="I8" s="19" t="n">
        <x:f>'属性成长'!D23-G8-H8</x:f>
        <x:v>88</x:v>
      </x:c>
      <x:c r="J8" s="24" t="n">
        <x:v>495</x:v>
      </x:c>
      <x:c r="K8" s="10" t="str">
        <x:v>战弓/重弩+投掷或匕首</x:v>
      </x:c>
    </x:row>
    <x:row r="9" ht="58" customHeight="1">
      <x:c r="A9" s="3" t="str">
        <x:v>小酒瓶</x:v>
      </x:c>
      <x:c r="B9" s="3" t="str">
        <x:v>bottle</x:v>
      </x:c>
      <x:c r="C9" s="3" t="str">
        <x:v>短剑、填充皮甲、填充帽、木盾</x:v>
      </x:c>
      <x:c r="D9" s="3" t="str">
        <x:v>小刀</x:v>
      </x:c>
      <x:c r="E9" s="25" t="n">
        <x:v>80</x:v>
      </x:c>
      <x:c r="F9" s="25" t="n">
        <x:v>40</x:v>
      </x:c>
      <x:c r="G9" s="25" t="n">
        <x:v>23</x:v>
      </x:c>
      <x:c r="H9" s="25" t="n">
        <x:v>0</x:v>
      </x:c>
      <x:c r="I9" s="19" t="n">
        <x:f>'属性成长'!D31-G9-H9</x:f>
        <x:v>74</x:v>
      </x:c>
      <x:c r="J9" s="25" t="n">
        <x:v>750</x:v>
      </x:c>
      <x:c r="K9" s="3" t="str">
        <x:v>单手剑/锤决斗，或双手锤低耗</x:v>
      </x:c>
    </x:row>
    <x:row r="10" ht="58" customHeight="1">
      <x:c r="A10" s="10" t="str">
        <x:v>白小帅子</x:v>
      </x:c>
      <x:c r="B10" s="10" t="str">
        <x:v>shuaizi</x:v>
      </x:c>
      <x:c r="C10" s="10" t="str">
        <x:v>民兵矛、填充罩袍、兜帽、木盾</x:v>
      </x:c>
      <x:c r="D10" s="10" t="str">
        <x:v>小刀</x:v>
      </x:c>
      <x:c r="E10" s="24" t="n">
        <x:v>50</x:v>
      </x:c>
      <x:c r="F10" s="24" t="n">
        <x:v>30</x:v>
      </x:c>
      <x:c r="G10" s="24" t="n">
        <x:v>20</x:v>
      </x:c>
      <x:c r="H10" s="24" t="n">
        <x:v>0</x:v>
      </x:c>
      <x:c r="I10" s="19" t="n">
        <x:f>'属性成长'!D39-G10-H10</x:f>
        <x:v>82</x:v>
      </x:c>
      <x:c r="J10" s="24" t="n">
        <x:v>440</x:v>
      </x:c>
      <x:c r="K10" s="10" t="str">
        <x:v>矛/单手锤+圆盾；远程压力换鸢盾</x:v>
      </x:c>
    </x:row>
    <x:row r="11" ht="58" customHeight="1">
      <x:c r="A11" s="3" t="str">
        <x:v>李李超欧</x:v>
      </x:c>
      <x:c r="B11" s="3" t="str">
        <x:v>lili</x:v>
      </x:c>
      <x:c r="C11" s="3" t="str">
        <x:v>短弓、箭袋、填充罩袍、兜帽</x:v>
      </x:c>
      <x:c r="D11" s="3" t="str">
        <x:v>小刀</x:v>
      </x:c>
      <x:c r="E11" s="25" t="n">
        <x:v>50</x:v>
      </x:c>
      <x:c r="F11" s="25" t="n">
        <x:v>30</x:v>
      </x:c>
      <x:c r="G11" s="25" t="n">
        <x:v>8</x:v>
      </x:c>
      <x:c r="H11" s="25" t="n">
        <x:v>0</x:v>
      </x:c>
      <x:c r="I11" s="19" t="n">
        <x:f>'属性成长'!D47-G11-H11</x:f>
        <x:v>87</x:v>
      </x:c>
      <x:c r="J11" s="25" t="n">
        <x:v>395</x:v>
      </x:c>
      <x:c r="K11" s="3" t="str">
        <x:v>战弓/重弩+投掷或匕首</x:v>
      </x:c>
    </x:row>
    <x:row r="12" ht="58" customHeight="1">
      <x:c r="A12" s="10" t="str">
        <x:v>小月牙</x:v>
      </x:c>
      <x:c r="B12" s="10" t="str">
        <x:v>xiaoyueya</x:v>
      </x:c>
      <x:c r="C12" s="10" t="str">
        <x:v>标枪、填充罩袍、兜帽</x:v>
      </x:c>
      <x:c r="D12" s="10" t="str">
        <x:v>标枪、小刀</x:v>
      </x:c>
      <x:c r="E12" s="24" t="n">
        <x:v>50</x:v>
      </x:c>
      <x:c r="F12" s="24" t="n">
        <x:v>30</x:v>
      </x:c>
      <x:c r="G12" s="24" t="n">
        <x:v>10</x:v>
      </x:c>
      <x:c r="H12" s="24" t="n">
        <x:v>3</x:v>
      </x:c>
      <x:c r="I12" s="19" t="n">
        <x:f>'属性成长'!D55-G12-H12</x:f>
        <x:v>86</x:v>
      </x:c>
      <x:c r="J12" s="24" t="n">
        <x:v>560</x:v>
      </x:c>
      <x:c r="K12" s="10" t="str">
        <x:v>重标枪/重投斧+匕首，空副手</x:v>
      </x:c>
    </x:row>
    <x:row r="13" ht="58" customHeight="1">
      <x:c r="A13" s="3" t="str">
        <x:v>余初九</x:v>
      </x:c>
      <x:c r="B13" s="3" t="str">
        <x:v>yuchujiu</x:v>
      </x:c>
      <x:c r="C13" s="3" t="str">
        <x:v>短剑、填充罩袍、兜帽</x:v>
      </x:c>
      <x:c r="D13" s="3" t="str">
        <x:v>小刀</x:v>
      </x:c>
      <x:c r="E13" s="25" t="n">
        <x:v>50</x:v>
      </x:c>
      <x:c r="F13" s="25" t="n">
        <x:v>30</x:v>
      </x:c>
      <x:c r="G13" s="25" t="n">
        <x:v>8</x:v>
      </x:c>
      <x:c r="H13" s="25" t="n">
        <x:v>0</x:v>
      </x:c>
      <x:c r="I13" s="19" t="n">
        <x:f>'属性成长'!D63-G13-H13</x:f>
        <x:v>91</x:v>
      </x:c>
      <x:c r="J13" s="25" t="n">
        <x:v>510</x:v>
      </x:c>
      <x:c r="K13" s="3" t="str">
        <x:v>单手剑/刺剑或匕首；刺剑须另投先攻</x:v>
      </x:c>
    </x:row>
    <x:row r="14" ht="58" customHeight="1">
      <x:c r="A14" s="10" t="str">
        <x:v>小鱼贝壳</x:v>
      </x:c>
      <x:c r="B14" s="10" t="str">
        <x:v>xiaoyubeike</x:v>
      </x:c>
      <x:c r="C14" s="10" t="str">
        <x:v>镐、填充皮甲、填充帽、木盾</x:v>
      </x:c>
      <x:c r="D14" s="10" t="str">
        <x:v>小刀</x:v>
      </x:c>
      <x:c r="E14" s="24" t="n">
        <x:v>80</x:v>
      </x:c>
      <x:c r="F14" s="24" t="n">
        <x:v>40</x:v>
      </x:c>
      <x:c r="G14" s="24" t="n">
        <x:v>29</x:v>
      </x:c>
      <x:c r="H14" s="24" t="n">
        <x:v>0</x:v>
      </x:c>
      <x:c r="I14" s="19" t="n">
        <x:f>'属性成长'!D71-G14-H14</x:f>
        <x:v>77</x:v>
      </x:c>
      <x:c r="J14" s="24" t="n">
        <x:v>520</x:v>
      </x:c>
      <x:c r="K14" s="10" t="str">
        <x:v>双手锤/斧+包内二格武器</x:v>
      </x:c>
    </x:row>
    <x:row r="15" ht="58" customHeight="1">
      <x:c r="A15" s="3" t="str">
        <x:v>王怼怼</x:v>
      </x:c>
      <x:c r="B15" s="3" t="str">
        <x:v>wangduidui</x:v>
      </x:c>
      <x:c r="C15" s="3" t="str">
        <x:v>草叉、填充皮甲、填充帽</x:v>
      </x:c>
      <x:c r="D15" s="3" t="str">
        <x:v>小刀</x:v>
      </x:c>
      <x:c r="E15" s="25" t="n">
        <x:v>80</x:v>
      </x:c>
      <x:c r="F15" s="25" t="n">
        <x:v>40</x:v>
      </x:c>
      <x:c r="G15" s="25" t="n">
        <x:v>23</x:v>
      </x:c>
      <x:c r="H15" s="25" t="n">
        <x:v>0</x:v>
      </x:c>
      <x:c r="I15" s="19" t="n">
        <x:f>'属性成长'!D79-G15-H15</x:f>
        <x:v>75</x:v>
      </x:c>
      <x:c r="J15" s="25" t="n">
        <x:v>450</x:v>
      </x:c>
      <x:c r="K15" s="3" t="str">
        <x:v>公司战旗+鞭/网；全队只有一面旗也可轮换</x:v>
      </x:c>
    </x:row>
    <x:row r="16" ht="58" customHeight="1">
      <x:c r="A16" s="10" t="str">
        <x:v>老蔡</x:v>
      </x:c>
      <x:c r="B16" s="10" t="str">
        <x:v>laocai</x:v>
      </x:c>
      <x:c r="C16" s="10" t="str">
        <x:v>民兵矛、填充皮甲、填充帽、木盾</x:v>
      </x:c>
      <x:c r="D16" s="10" t="str">
        <x:v>小刀</x:v>
      </x:c>
      <x:c r="E16" s="24" t="n">
        <x:v>80</x:v>
      </x:c>
      <x:c r="F16" s="24" t="n">
        <x:v>40</x:v>
      </x:c>
      <x:c r="G16" s="24" t="n">
        <x:v>25</x:v>
      </x:c>
      <x:c r="H16" s="24" t="n">
        <x:v>0</x:v>
      </x:c>
      <x:c r="I16" s="19" t="n">
        <x:f>'属性成长'!D87-G16-H16</x:f>
        <x:v>79</x:v>
      </x:c>
      <x:c r="J16" s="24" t="n">
        <x:v>580</x:v>
      </x:c>
      <x:c r="K16" s="10" t="str">
        <x:v>矛/单手锤+圆盾；远程压力换鸢盾</x:v>
      </x:c>
    </x:row>
    <x:row r="17" ht="58" customHeight="1">
      <x:c r="A17" s="3" t="str">
        <x:v>眼子哥</x:v>
      </x:c>
      <x:c r="B17" s="3" t="str">
        <x:v>yanzi</x:v>
      </x:c>
      <x:c r="C17" s="3" t="str">
        <x:v>短剑、填充皮甲、填充帽、木盾</x:v>
      </x:c>
      <x:c r="D17" s="3" t="str">
        <x:v>小刀</x:v>
      </x:c>
      <x:c r="E17" s="25" t="n">
        <x:v>80</x:v>
      </x:c>
      <x:c r="F17" s="25" t="n">
        <x:v>40</x:v>
      </x:c>
      <x:c r="G17" s="25" t="n">
        <x:v>23</x:v>
      </x:c>
      <x:c r="H17" s="25" t="n">
        <x:v>0</x:v>
      </x:c>
      <x:c r="I17" s="19" t="n">
        <x:f>'属性成长'!D95-G17-H17</x:f>
        <x:v>81</x:v>
      </x:c>
      <x:c r="J17" s="25" t="n">
        <x:v>750</x:v>
      </x:c>
      <x:c r="K17" s="3" t="str">
        <x:v>单手剑/锤决斗，或双手锤低耗</x:v>
      </x:c>
    </x:row>
    <x:row r="18" ht="58" customHeight="1">
      <x:c r="A18" s="10" t="str">
        <x:v>亿口甜筒</x:v>
      </x:c>
      <x:c r="B18" s="10" t="str">
        <x:v>tiantong</x:v>
      </x:c>
      <x:c r="C18" s="10" t="str">
        <x:v>猎弓、箭袋、填充皮甲、填充帽</x:v>
      </x:c>
      <x:c r="D18" s="10" t="str">
        <x:v>小刀</x:v>
      </x:c>
      <x:c r="E18" s="24" t="n">
        <x:v>80</x:v>
      </x:c>
      <x:c r="F18" s="24" t="n">
        <x:v>40</x:v>
      </x:c>
      <x:c r="G18" s="24" t="n">
        <x:v>15</x:v>
      </x:c>
      <x:c r="H18" s="24" t="n">
        <x:v>0</x:v>
      </x:c>
      <x:c r="I18" s="19" t="n">
        <x:f>'属性成长'!D103-G18-H18</x:f>
        <x:v>83</x:v>
      </x:c>
      <x:c r="J18" s="24" t="n">
        <x:v>935</x:v>
      </x:c>
      <x:c r="K18" s="10" t="str">
        <x:v>战弓/重弩+投掷或匕首</x:v>
      </x:c>
    </x:row>
    <x:row r="19" ht="58" customHeight="1">
      <x:c r="A19" s="3" t="str">
        <x:v>小宁</x:v>
      </x:c>
      <x:c r="B19" s="3" t="str">
        <x:v>xiaoning</x:v>
      </x:c>
      <x:c r="C19" s="3" t="str">
        <x:v>轻弩、弩矢袋、皮札甲、鼻盔</x:v>
      </x:c>
      <x:c r="D19" s="3" t="str">
        <x:v>小刀</x:v>
      </x:c>
      <x:c r="E19" s="25" t="n">
        <x:v>95</x:v>
      </x:c>
      <x:c r="F19" s="25" t="n">
        <x:v>105</x:v>
      </x:c>
      <x:c r="G19" s="25" t="n">
        <x:v>21</x:v>
      </x:c>
      <x:c r="H19" s="25" t="n">
        <x:v>0</x:v>
      </x:c>
      <x:c r="I19" s="19" t="n">
        <x:f>'属性成长'!D111-G19-H19</x:f>
        <x:v>74</x:v>
      </x:c>
      <x:c r="J19" s="25" t="n">
        <x:v>1015</x:v>
      </x:c>
      <x:c r="K19" s="3" t="str">
        <x:v>战弓/重弩+投掷或匕首</x:v>
      </x:c>
    </x:row>
    <x:row r="20" ht="58" customHeight="1">
      <x:c r="A20" s="10" t="str">
        <x:v>小胖徐不快乐</x:v>
      </x:c>
      <x:c r="B20" s="10" t="str">
        <x:v>xiaopangxu</x:v>
      </x:c>
      <x:c r="C20" s="10" t="str">
        <x:v>手斧、皮札甲、鼻盔、木盾</x:v>
      </x:c>
      <x:c r="D20" s="10" t="str">
        <x:v>小刀</x:v>
      </x:c>
      <x:c r="E20" s="24" t="n">
        <x:v>95</x:v>
      </x:c>
      <x:c r="F20" s="24" t="n">
        <x:v>105</x:v>
      </x:c>
      <x:c r="G20" s="24" t="n">
        <x:v>35</x:v>
      </x:c>
      <x:c r="H20" s="24" t="n">
        <x:v>0</x:v>
      </x:c>
      <x:c r="I20" s="19" t="n">
        <x:f>'属性成长'!D119-G20-H20</x:f>
        <x:v>77</x:v>
      </x:c>
      <x:c r="J20" s="24" t="n">
        <x:v>1680</x:v>
      </x:c>
      <x:c r="K20" s="10" t="str">
        <x:v>矛/单手锤+圆盾；远程压力换鸢盾</x:v>
      </x:c>
    </x:row>
    <x:row r="21" ht="58" customHeight="1">
      <x:c r="A21" s="3" t="str">
        <x:v>大鹅</x:v>
      </x:c>
      <x:c r="B21" s="3" t="str">
        <x:v>dae</x:v>
      </x:c>
      <x:c r="C21" s="3" t="str">
        <x:v>民兵矛、填充皮甲、填充帽、木盾</x:v>
      </x:c>
      <x:c r="D21" s="3" t="str">
        <x:v>小刀</x:v>
      </x:c>
      <x:c r="E21" s="25" t="n">
        <x:v>80</x:v>
      </x:c>
      <x:c r="F21" s="25" t="n">
        <x:v>40</x:v>
      </x:c>
      <x:c r="G21" s="25" t="n">
        <x:v>25</x:v>
      </x:c>
      <x:c r="H21" s="25" t="n">
        <x:v>0</x:v>
      </x:c>
      <x:c r="I21" s="19" t="n">
        <x:f>'属性成长'!D127-G21-H21</x:f>
        <x:v>77</x:v>
      </x:c>
      <x:c r="J21" s="25" t="n">
        <x:v>580</x:v>
      </x:c>
      <x:c r="K21" s="3" t="str">
        <x:v>矛/单手锤+圆盾；远程压力换鸢盾</x:v>
      </x:c>
    </x:row>
    <x:row r="22" ht="58" customHeight="1">
      <x:c r="A22" s="10" t="str">
        <x:v>蔓越莓</x:v>
      </x:c>
      <x:c r="B22" s="10" t="str">
        <x:v>manyuemei</x:v>
      </x:c>
      <x:c r="C22" s="10" t="str">
        <x:v>标枪、皮札甲、鼻盔</x:v>
      </x:c>
      <x:c r="D22" s="10" t="str">
        <x:v>标枪、小刀</x:v>
      </x:c>
      <x:c r="E22" s="24" t="n">
        <x:v>95</x:v>
      </x:c>
      <x:c r="F22" s="24" t="n">
        <x:v>105</x:v>
      </x:c>
      <x:c r="G22" s="24" t="n">
        <x:v>21</x:v>
      </x:c>
      <x:c r="H22" s="24" t="n">
        <x:v>3</x:v>
      </x:c>
      <x:c r="I22" s="19" t="n">
        <x:f>'属性成长'!D135-G22-H22</x:f>
        <x:v>74</x:v>
      </x:c>
      <x:c r="J22" s="24" t="n">
        <x:v>1080</x:v>
      </x:c>
      <x:c r="K22" s="10" t="str">
        <x:v>重标枪/重投斧+匕首，空副手</x:v>
      </x:c>
    </x:row>
    <x:row r="23" ht="58" customHeight="1">
      <x:c r="A23" s="3" t="str">
        <x:v>罗一可</x:v>
      </x:c>
      <x:c r="B23" s="3" t="str">
        <x:v>xiaohani</x:v>
      </x:c>
      <x:c r="C23" s="3" t="str">
        <x:v>弯刀、皮札甲、鼻盔</x:v>
      </x:c>
      <x:c r="D23" s="3" t="str">
        <x:v>小刀</x:v>
      </x:c>
      <x:c r="E23" s="25" t="n">
        <x:v>95</x:v>
      </x:c>
      <x:c r="F23" s="25" t="n">
        <x:v>105</x:v>
      </x:c>
      <x:c r="G23" s="25" t="n">
        <x:v>21</x:v>
      </x:c>
      <x:c r="H23" s="25" t="n">
        <x:v>0</x:v>
      </x:c>
      <x:c r="I23" s="19" t="n">
        <x:f>'属性成长'!D143-G23-H23</x:f>
        <x:v>80</x:v>
      </x:c>
      <x:c r="J23" s="25" t="n">
        <x:v>1180</x:v>
      </x:c>
      <x:c r="K23" s="3" t="str">
        <x:v>单手剑/刺剑或匕首；刺剑须另投先攻</x:v>
      </x:c>
    </x:row>
    <x:row r="24" ht="58" customHeight="1">
      <x:c r="A24" s="10" t="str">
        <x:v>可可</x:v>
      </x:c>
      <x:c r="B24" s="10" t="str">
        <x:v>keke</x:v>
      </x:c>
      <x:c r="C24" s="10" t="str">
        <x:v>民兵矛、皮札甲、鼻盔、木盾</x:v>
      </x:c>
      <x:c r="D24" s="10" t="str">
        <x:v>小刀</x:v>
      </x:c>
      <x:c r="E24" s="24" t="n">
        <x:v>95</x:v>
      </x:c>
      <x:c r="F24" s="24" t="n">
        <x:v>105</x:v>
      </x:c>
      <x:c r="G24" s="24" t="n">
        <x:v>31</x:v>
      </x:c>
      <x:c r="H24" s="24" t="n">
        <x:v>0</x:v>
      </x:c>
      <x:c r="I24" s="19" t="n">
        <x:f>'属性成长'!D151-G24-H24</x:f>
        <x:v>73</x:v>
      </x:c>
      <x:c r="J24" s="24" t="n">
        <x:v>960</x:v>
      </x:c>
      <x:c r="K24" s="10" t="str">
        <x:v>矛/单手锤+圆盾；远程压力换鸢盾</x:v>
      </x:c>
    </x:row>
    <x:row r="25" ht="58" customHeight="1">
      <x:c r="A25" s="3" t="str">
        <x:v>余想</x:v>
      </x:c>
      <x:c r="B25" s="3" t="str">
        <x:v>yuxiang</x:v>
      </x:c>
      <x:c r="C25" s="3" t="str">
        <x:v>战叉、皮札甲、鼻盔</x:v>
      </x:c>
      <x:c r="D25" s="3" t="str">
        <x:v>小刀</x:v>
      </x:c>
      <x:c r="E25" s="25" t="n">
        <x:v>95</x:v>
      </x:c>
      <x:c r="F25" s="25" t="n">
        <x:v>105</x:v>
      </x:c>
      <x:c r="G25" s="25" t="n">
        <x:v>25</x:v>
      </x:c>
      <x:c r="H25" s="25" t="n">
        <x:v>0</x:v>
      </x:c>
      <x:c r="I25" s="19" t="n">
        <x:f>'属性成长'!D159-G25-H25</x:f>
        <x:v>83</x:v>
      </x:c>
      <x:c r="J25" s="25" t="n">
        <x:v>1080</x:v>
      </x:c>
      <x:c r="K25" s="3" t="str">
        <x:v>钩镰枪/长柄锤+副武器</x:v>
      </x:c>
    </x:row>
    <x:row r="26" ht="58" customHeight="1">
      <x:c r="A26" s="10" t="str">
        <x:v>童猪</x:v>
      </x:c>
      <x:c r="B26" s="10" t="str">
        <x:v>tongzhu</x:v>
      </x:c>
      <x:c r="C26" s="10" t="str">
        <x:v>战叉、皮札甲、鼻盔</x:v>
      </x:c>
      <x:c r="D26" s="10" t="str">
        <x:v>小刀</x:v>
      </x:c>
      <x:c r="E26" s="24" t="n">
        <x:v>95</x:v>
      </x:c>
      <x:c r="F26" s="24" t="n">
        <x:v>105</x:v>
      </x:c>
      <x:c r="G26" s="24" t="n">
        <x:v>25</x:v>
      </x:c>
      <x:c r="H26" s="24" t="n">
        <x:v>0</x:v>
      </x:c>
      <x:c r="I26" s="19" t="n">
        <x:f>'属性成长'!D167-G26-H26</x:f>
        <x:v>73</x:v>
      </x:c>
      <x:c r="J26" s="24" t="n">
        <x:v>1080</x:v>
      </x:c>
      <x:c r="K26" s="10" t="str">
        <x:v>公司战旗+鞭/网；全队只有一面旗也可轮换</x:v>
      </x:c>
    </x:row>
    <x:row r="27" ht="58" customHeight="1">
      <x:c r="A27" s="3" t="str">
        <x:v>美伢</x:v>
      </x:c>
      <x:c r="B27" s="3" t="str">
        <x:v>meiya</x:v>
      </x:c>
      <x:c r="C27" s="3" t="str">
        <x:v>弯刀、皮札甲、鼻盔</x:v>
      </x:c>
      <x:c r="D27" s="3" t="str">
        <x:v>小刀</x:v>
      </x:c>
      <x:c r="E27" s="25" t="n">
        <x:v>95</x:v>
      </x:c>
      <x:c r="F27" s="25" t="n">
        <x:v>105</x:v>
      </x:c>
      <x:c r="G27" s="25" t="n">
        <x:v>21</x:v>
      </x:c>
      <x:c r="H27" s="25" t="n">
        <x:v>0</x:v>
      </x:c>
      <x:c r="I27" s="19" t="n">
        <x:f>'属性成长'!D175-G27-H27</x:f>
        <x:v>84</x:v>
      </x:c>
      <x:c r="J27" s="25" t="n">
        <x:v>1180</x:v>
      </x:c>
      <x:c r="K27" s="3" t="str">
        <x:v>单手剑/刺剑或匕首；刺剑须另投先攻</x:v>
      </x:c>
    </x:row>
    <x:row r="28" ht="58" customHeight="1">
      <x:c r="A28" s="10" t="str">
        <x:v>玩蛇</x:v>
      </x:c>
      <x:c r="B28" s="10" t="str">
        <x:v>wanshe</x:v>
      </x:c>
      <x:c r="C28" s="10" t="str">
        <x:v>弯刀、皮札甲、鼻盔、木盾</x:v>
      </x:c>
      <x:c r="D28" s="10" t="str">
        <x:v>小刀</x:v>
      </x:c>
      <x:c r="E28" s="24" t="n">
        <x:v>95</x:v>
      </x:c>
      <x:c r="F28" s="24" t="n">
        <x:v>105</x:v>
      </x:c>
      <x:c r="G28" s="24" t="n">
        <x:v>31</x:v>
      </x:c>
      <x:c r="H28" s="24" t="n">
        <x:v>0</x:v>
      </x:c>
      <x:c r="I28" s="19" t="n">
        <x:f>'属性成长'!D183-G28-H28</x:f>
        <x:v>69</x:v>
      </x:c>
      <x:c r="J28" s="24" t="n">
        <x:v>1280</x:v>
      </x:c>
      <x:c r="K28" s="10" t="str">
        <x:v>单手剑/锤决斗，或双手锤低耗</x:v>
      </x:c>
    </x:row>
    <x:row r="29" ht="58" customHeight="1">
      <x:c r="A29" s="3" t="str">
        <x:v>涂涂</x:v>
      </x:c>
      <x:c r="B29" s="3" t="str">
        <x:v>tutu</x:v>
      </x:c>
      <x:c r="C29" s="3" t="str">
        <x:v>战叉、皮札甲、鼻盔</x:v>
      </x:c>
      <x:c r="D29" s="3" t="str">
        <x:v>小刀</x:v>
      </x:c>
      <x:c r="E29" s="25" t="n">
        <x:v>95</x:v>
      </x:c>
      <x:c r="F29" s="25" t="n">
        <x:v>105</x:v>
      </x:c>
      <x:c r="G29" s="25" t="n">
        <x:v>25</x:v>
      </x:c>
      <x:c r="H29" s="25" t="n">
        <x:v>0</x:v>
      </x:c>
      <x:c r="I29" s="19" t="n">
        <x:f>'属性成长'!D191-G29-H29</x:f>
        <x:v>79</x:v>
      </x:c>
      <x:c r="J29" s="25" t="n">
        <x:v>1080</x:v>
      </x:c>
      <x:c r="K29" s="3" t="str">
        <x:v>公司战旗+鞭/网；全队只有一面旗也可轮换</x:v>
      </x:c>
    </x:row>
    <x:row r="30" ht="58" customHeight="1">
      <x:c r="A30" s="10" t="str">
        <x:v>奶盖</x:v>
      </x:c>
      <x:c r="B30" s="10" t="str">
        <x:v>naigai</x:v>
      </x:c>
      <x:c r="C30" s="10" t="str">
        <x:v>标枪、皮札甲、鼻盔、木盾</x:v>
      </x:c>
      <x:c r="D30" s="10" t="str">
        <x:v>标枪、小刀</x:v>
      </x:c>
      <x:c r="E30" s="24" t="n">
        <x:v>95</x:v>
      </x:c>
      <x:c r="F30" s="24" t="n">
        <x:v>105</x:v>
      </x:c>
      <x:c r="G30" s="24" t="n">
        <x:v>31</x:v>
      </x:c>
      <x:c r="H30" s="24" t="n">
        <x:v>3</x:v>
      </x:c>
      <x:c r="I30" s="19" t="n">
        <x:f>'属性成长'!D199-G30-H30</x:f>
        <x:v>68</x:v>
      </x:c>
      <x:c r="J30" s="24" t="n">
        <x:v>1180</x:v>
      </x:c>
      <x:c r="K30" s="10" t="str">
        <x:v>单手矛+盾，包内标枪</x:v>
      </x:c>
    </x:row>
    <x:row r="31" ht="58" customHeight="1">
      <x:c r="A31" s="3" t="str">
        <x:v>小杰</x:v>
      </x:c>
      <x:c r="B31" s="3" t="str">
        <x:v>xiaojie</x:v>
      </x:c>
      <x:c r="C31" s="3" t="str">
        <x:v>镐、皮札甲、鼻盔、木盾</x:v>
      </x:c>
      <x:c r="D31" s="3" t="str">
        <x:v>小刀</x:v>
      </x:c>
      <x:c r="E31" s="25" t="n">
        <x:v>95</x:v>
      </x:c>
      <x:c r="F31" s="25" t="n">
        <x:v>105</x:v>
      </x:c>
      <x:c r="G31" s="25" t="n">
        <x:v>35</x:v>
      </x:c>
      <x:c r="H31" s="25" t="n">
        <x:v>0</x:v>
      </x:c>
      <x:c r="I31" s="19" t="n">
        <x:f>'属性成长'!D207-G31-H31</x:f>
        <x:v>75</x:v>
      </x:c>
      <x:c r="J31" s="25" t="n">
        <x:v>900</x:v>
      </x:c>
      <x:c r="K31" s="3" t="str">
        <x:v>双手锤/斧+包内二格武器</x:v>
      </x:c>
    </x:row>
    <x:row r="32" ht="58" customHeight="1">
      <x:c r="A32" s="10" t="str">
        <x:v>bula</x:v>
      </x:c>
      <x:c r="B32" s="10" t="str">
        <x:v>bula</x:v>
      </x:c>
      <x:c r="C32" s="10" t="str">
        <x:v>标枪、皮札甲、鼻盔</x:v>
      </x:c>
      <x:c r="D32" s="10" t="str">
        <x:v>标枪、小刀</x:v>
      </x:c>
      <x:c r="E32" s="24" t="n">
        <x:v>95</x:v>
      </x:c>
      <x:c r="F32" s="24" t="n">
        <x:v>105</x:v>
      </x:c>
      <x:c r="G32" s="24" t="n">
        <x:v>21</x:v>
      </x:c>
      <x:c r="H32" s="24" t="n">
        <x:v>3</x:v>
      </x:c>
      <x:c r="I32" s="19" t="n">
        <x:f>'属性成长'!D215-G32-H32</x:f>
        <x:v>79</x:v>
      </x:c>
      <x:c r="J32" s="24" t="n">
        <x:v>1080</x:v>
      </x:c>
      <x:c r="K32" s="10" t="str">
        <x:v>重标枪/重投斧+匕首，空副手</x:v>
      </x:c>
    </x:row>
    <x:row r="33" ht="58" customHeight="1">
      <x:c r="A33" s="3" t="str">
        <x:v>苏袜</x:v>
      </x:c>
      <x:c r="B33" s="3" t="str">
        <x:v>suwa</x:v>
      </x:c>
      <x:c r="C33" s="3" t="str">
        <x:v>弯刀、皮札甲、鼻盔</x:v>
      </x:c>
      <x:c r="D33" s="3" t="str">
        <x:v>小刀</x:v>
      </x:c>
      <x:c r="E33" s="25" t="n">
        <x:v>95</x:v>
      </x:c>
      <x:c r="F33" s="25" t="n">
        <x:v>105</x:v>
      </x:c>
      <x:c r="G33" s="25" t="n">
        <x:v>21</x:v>
      </x:c>
      <x:c r="H33" s="25" t="n">
        <x:v>0</x:v>
      </x:c>
      <x:c r="I33" s="19" t="n">
        <x:f>'属性成长'!D223-G33-H33</x:f>
        <x:v>81</x:v>
      </x:c>
      <x:c r="J33" s="25" t="n">
        <x:v>1180</x:v>
      </x:c>
      <x:c r="K33" s="3" t="str">
        <x:v>单手剑/刺剑或匕首；刺剑须另投先攻</x:v>
      </x:c>
    </x:row>
    <x:row r="34" ht="58" customHeight="1">
      <x:c r="A34" s="10" t="str">
        <x:v>千涵</x:v>
      </x:c>
      <x:c r="B34" s="10" t="str">
        <x:v>qianhan</x:v>
      </x:c>
      <x:c r="C34" s="10" t="str">
        <x:v>猎猪矛、皮札甲、鼻盔、木盾</x:v>
      </x:c>
      <x:c r="D34" s="10" t="str">
        <x:v>小刀</x:v>
      </x:c>
      <x:c r="E34" s="24" t="n">
        <x:v>95</x:v>
      </x:c>
      <x:c r="F34" s="24" t="n">
        <x:v>105</x:v>
      </x:c>
      <x:c r="G34" s="24" t="n">
        <x:v>33</x:v>
      </x:c>
      <x:c r="H34" s="24" t="n">
        <x:v>0</x:v>
      </x:c>
      <x:c r="I34" s="19" t="n">
        <x:f>'属性成长'!D231-G34-H34</x:f>
        <x:v>73</x:v>
      </x:c>
      <x:c r="J34" s="24" t="n">
        <x:v>1530</x:v>
      </x:c>
      <x:c r="K34" s="10" t="str">
        <x:v>单手剑/锤决斗，或双手锤低耗</x:v>
      </x:c>
    </x:row>
    <x:row r="35" ht="58" customHeight="1">
      <x:c r="A35" s="3" t="str">
        <x:v>王大芷</x:v>
      </x:c>
      <x:c r="B35" s="3" t="str">
        <x:v>wangdazhi</x:v>
      </x:c>
      <x:c r="C35" s="3" t="str">
        <x:v>民兵矛、皮札甲、鼻盔、木盾</x:v>
      </x:c>
      <x:c r="D35" s="3" t="str">
        <x:v>小刀</x:v>
      </x:c>
      <x:c r="E35" s="25" t="n">
        <x:v>95</x:v>
      </x:c>
      <x:c r="F35" s="25" t="n">
        <x:v>105</x:v>
      </x:c>
      <x:c r="G35" s="25" t="n">
        <x:v>31</x:v>
      </x:c>
      <x:c r="H35" s="25" t="n">
        <x:v>0</x:v>
      </x:c>
      <x:c r="I35" s="19" t="n">
        <x:f>'属性成长'!D239-G35-H35</x:f>
        <x:v>77</x:v>
      </x:c>
      <x:c r="J35" s="25" t="n">
        <x:v>960</x:v>
      </x:c>
      <x:c r="K35" s="3" t="str">
        <x:v>矛/单手锤+圆盾；远程压力换鸢盾</x:v>
      </x:c>
    </x:row>
    <x:row r="36" ht="58" customHeight="1">
      <x:c r="A36" s="10" t="str">
        <x:v>瑶瑶牙</x:v>
      </x:c>
      <x:c r="B36" s="10" t="str">
        <x:v>yaoyaoya</x:v>
      </x:c>
      <x:c r="C36" s="10" t="str">
        <x:v>伐木斧、皮札甲、鼻盔</x:v>
      </x:c>
      <x:c r="D36" s="10" t="str">
        <x:v>小刀</x:v>
      </x:c>
      <x:c r="E36" s="24" t="n">
        <x:v>95</x:v>
      </x:c>
      <x:c r="F36" s="24" t="n">
        <x:v>105</x:v>
      </x:c>
      <x:c r="G36" s="24" t="n">
        <x:v>29</x:v>
      </x:c>
      <x:c r="H36" s="24" t="n">
        <x:v>0</x:v>
      </x:c>
      <x:c r="I36" s="19" t="n">
        <x:f>'属性成长'!D247-G36-H36</x:f>
        <x:v>84</x:v>
      </x:c>
      <x:c r="J36" s="24" t="n">
        <x:v>1080</x:v>
      </x:c>
      <x:c r="K36" s="10" t="str">
        <x:v>双手锤/斧+包内二格武器</x:v>
      </x:c>
    </x:row>
    <x:row r="37" ht="58" customHeight="1">
      <x:c r="A37" s="3" t="str">
        <x:v>羊咩咩</x:v>
      </x:c>
      <x:c r="B37" s="3" t="str">
        <x:v>yangmiemie</x:v>
      </x:c>
      <x:c r="C37" s="3" t="str">
        <x:v>战叉、皮札甲、鼻盔</x:v>
      </x:c>
      <x:c r="D37" s="3" t="str">
        <x:v>小刀</x:v>
      </x:c>
      <x:c r="E37" s="25" t="n">
        <x:v>95</x:v>
      </x:c>
      <x:c r="F37" s="25" t="n">
        <x:v>105</x:v>
      </x:c>
      <x:c r="G37" s="25" t="n">
        <x:v>25</x:v>
      </x:c>
      <x:c r="H37" s="25" t="n">
        <x:v>0</x:v>
      </x:c>
      <x:c r="I37" s="19" t="n">
        <x:f>'属性成长'!D255-G37-H37</x:f>
        <x:v>80</x:v>
      </x:c>
      <x:c r="J37" s="25" t="n">
        <x:v>1080</x:v>
      </x:c>
      <x:c r="K37" s="3" t="str">
        <x:v>钩镰枪/长柄锤+副武器</x:v>
      </x:c>
    </x:row>
    <x:row r="38" ht="58" customHeight="1">
      <x:c r="A38" s="10" t="str">
        <x:v>宋暖阳</x:v>
      </x:c>
      <x:c r="B38" s="10" t="str">
        <x:v>songnuanyang</x:v>
      </x:c>
      <x:c r="C38" s="10" t="str">
        <x:v>弯刀、皮札甲、鼻盔、木盾</x:v>
      </x:c>
      <x:c r="D38" s="10" t="str">
        <x:v>小刀</x:v>
      </x:c>
      <x:c r="E38" s="24" t="n">
        <x:v>95</x:v>
      </x:c>
      <x:c r="F38" s="24" t="n">
        <x:v>105</x:v>
      </x:c>
      <x:c r="G38" s="24" t="n">
        <x:v>31</x:v>
      </x:c>
      <x:c r="H38" s="24" t="n">
        <x:v>0</x:v>
      </x:c>
      <x:c r="I38" s="19" t="n">
        <x:f>'属性成长'!D263-G38-H38</x:f>
        <x:v>73</x:v>
      </x:c>
      <x:c r="J38" s="24" t="n">
        <x:v>1280</x:v>
      </x:c>
      <x:c r="K38" s="10" t="str">
        <x:v>单手剑/锤决斗，或双手锤低耗</x:v>
      </x:c>
    </x:row>
    <x:row r="39" ht="58" customHeight="1">
      <x:c r="A39" s="3" t="str">
        <x:v>溺水小龟</x:v>
      </x:c>
      <x:c r="B39" s="3" t="str">
        <x:v>xiaogui</x:v>
      </x:c>
      <x:c r="C39" s="3" t="str">
        <x:v>民兵矛、皮札甲、木盾</x:v>
      </x:c>
      <x:c r="D39" s="3" t="str">
        <x:v>小刀</x:v>
      </x:c>
      <x:c r="E39" s="25" t="n">
        <x:v>95</x:v>
      </x:c>
      <x:c r="F39" s="25" t="n">
        <x:v>0</x:v>
      </x:c>
      <x:c r="G39" s="25" t="n">
        <x:v>26</x:v>
      </x:c>
      <x:c r="H39" s="25" t="n">
        <x:v>0</x:v>
      </x:c>
      <x:c r="I39" s="19" t="n">
        <x:f>'属性成长'!D271-G39-H39</x:f>
        <x:v>82</x:v>
      </x:c>
      <x:c r="J39" s="25" t="n">
        <x:v>610</x:v>
      </x:c>
      <x:c r="K39" s="3" t="str">
        <x:v>矛/单手锤+圆盾；远程压力换鸢盾</x:v>
      </x:c>
    </x:row>
  </x:sheetData>
  <x:pageMargins left="0.7" right="0.7" top="0.75" bottom="0.75" header="0.3" footer="0.3"/>
  <x:tableParts count="1">
    <x:tablePart xmlns:r="http://schemas.openxmlformats.org/officeDocument/2006/relationships" r:id="Rb342d44d1e914564"/>
  </x:tableParts>
</x:worksheet>
</file>

<file path=xl/worksheets/sheet6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3" hidden="0" customWidth="1"/>
    <x:col min="3" max="3" width="14" hidden="0" customWidth="1"/>
    <x:col min="4" max="4" width="9" hidden="0" customWidth="1"/>
    <x:col min="5" max="5" width="10" hidden="0" customWidth="1"/>
    <x:col min="6" max="6" width="9" hidden="0" customWidth="1"/>
    <x:col min="7" max="7" width="9" hidden="0" customWidth="1"/>
    <x:col min="8" max="8" width="13" hidden="0" customWidth="1"/>
    <x:col min="9" max="9" width="94" hidden="0" customWidth="1"/>
    <x:col min="10" max="10" width="56" hidden="0" customWidth="1"/>
    <x:col min="11" max="11" width="24" hidden="0" customWidth="1"/>
    <x:col min="12" max="12" width="80" hidden="0" customWidth="1"/>
    <x:col min="13" max="13" width="24" hidden="0" customWidth="1"/>
  </x:cols>
  <x:sheetData>
    <x:row r="1" ht="36" customHeight="1">
      <x:c r="A1" s="5" t="str">
        <x:v>99个成员技能 · 7级三选一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7" t="str">
        <x:v>费用列可改用于比较，效果文字不会自动更新；全局命中/恢复/目标上限见总方案。当前文本与新定义并列留档。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6" customHeight="1">
      <x:c r="A5" s="9" t="str">
        <x:v>人物</x:v>
      </x:c>
      <x:c r="B5" s="9" t="str">
        <x:v>技能</x:v>
      </x:c>
      <x:c r="C5" s="9" t="str">
        <x:v>主动1被动0</x:v>
      </x:c>
      <x:c r="D5" s="9" t="str">
        <x:v>AP</x:v>
      </x:c>
      <x:c r="E5" s="9" t="str">
        <x:v>疲劳</x:v>
      </x:c>
      <x:c r="F5" s="9" t="str">
        <x:v>CD</x:v>
      </x:c>
      <x:c r="G5" s="9" t="str">
        <x:v>距离</x:v>
      </x:c>
      <x:c r="H5" s="9" t="str">
        <x:v>11级疲劳</x:v>
      </x:c>
      <x:c r="I5" s="9" t="str">
        <x:v>新效果完整定义</x:v>
      </x:c>
      <x:c r="J5" s="9" t="str">
        <x:v>11级其他变化</x:v>
      </x:c>
      <x:c r="K5" s="9" t="str">
        <x:v>变更</x:v>
      </x:c>
      <x:c r="L5" s="9" t="str">
        <x:v>当前原文</x:v>
      </x:c>
      <x:c r="M5" s="9" t="str">
        <x:v>技能ID</x:v>
      </x:c>
    </x:row>
    <x:row r="6" ht="90" customHeight="1">
      <x:c r="A6" s="10" t="str">
        <x:v>王大谋</x:v>
      </x:c>
      <x:c r="B6" s="10" t="str">
        <x:v>大哥借我</x:v>
      </x:c>
      <x:c r="C6" s="16" t="n">
        <x:v>1</x:v>
      </x:c>
      <x:c r="D6" s="15" t="n">
        <x:v>3</x:v>
      </x:c>
      <x:c r="E6" s="15" t="n">
        <x:v>12</x:v>
      </x:c>
      <x:c r="F6" s="15" t="n">
        <x:v>3</x:v>
      </x:c>
      <x:c r="G6" s="15" t="n">
        <x:v>1</x:v>
      </x:c>
      <x:c r="H6" s="19" t="n">
        <x:f>IF(AND(C6=1,E6&gt;0),MAX(0,E6-MAX(1,INT(E6*0.15))),E6)</x:f>
        <x:v>11</x:v>
      </x:c>
      <x:c r="I6" s="10" t="str">
        <x:v>持盾与一名相邻可行动队员互护，双方近防+5，至各自下次回合开始。临时护卫近防取最高，不相加。</x:v>
      </x:c>
      <x:c r="J6" s="10" t="str">
        <x:v>11级：疲劳成本减少15%，向下取整减免，至少减1；AP/冷却/每战次数不变</x:v>
      </x:c>
      <x:c r="K6" s="10" t="str">
        <x:v>重新定义</x:v>
      </x:c>
      <x:c r="L6" s="10" t="str">
        <x:v>持盾与一名相邻队员互相掩护：双方近战防御各 +5，分别持续至自己下次回合开始。护卫类临时近防只取最高值。</x:v>
      </x:c>
      <x:c r="M6" s="10" t="str">
        <x:v>borrow_strike</x:v>
      </x:c>
    </x:row>
    <x:row r="7" ht="90" customHeight="1">
      <x:c r="A7" s="3" t="str">
        <x:v>王大谋</x:v>
      </x:c>
      <x:c r="B7" s="3" t="str">
        <x:v>一起抬</x:v>
      </x:c>
      <x:c r="C7" s="17" t="n">
        <x:v>0</x:v>
      </x:c>
      <x:c r="D7" s="15" t="n">
        <x:v>0</x:v>
      </x:c>
      <x:c r="E7" s="15" t="n">
        <x:v>0</x:v>
      </x:c>
      <x:c r="F7" s="15" t="n">
        <x:v>0</x:v>
      </x:c>
      <x:c r="G7" s="15" t="n">
        <x:v>2</x:v>
      </x:c>
      <x:c r="H7" s="19" t="n">
        <x:f>IF(AND(C7=1,E7&gt;0),MAX(0,E7-MAX(1,INT(E7*0.15))),E7)</x:f>
        <x:v>0</x:v>
      </x:c>
      <x:c r="I7" s="3" t="str">
        <x:v>持盾且2格内至少两名其他可行动队员：自身决心+8、近战破甲+10%。队友离开立即失效，不按人数叠乘。</x:v>
      </x:c>
      <x:c r="J7" s="3" t="str">
        <x:v>11级：自身每回合额外恢复1疲劳，纳入全Mod额外恢复上限</x:v>
      </x:c>
      <x:c r="K7" s="3" t="str">
        <x:v>重新定义</x:v>
      </x:c>
      <x:c r="L7" s="3" t="str">
        <x:v>持盾且 2 格内有至少两名其他可行动队员时，决心 +8，近战武器攻击的护甲伤害 +10%。</x:v>
      </x:c>
      <x:c r="M7" s="3" t="str">
        <x:v>together_lift</x:v>
      </x:c>
    </x:row>
    <x:row r="8" ht="90" customHeight="1">
      <x:c r="A8" s="10" t="str">
        <x:v>王大谋</x:v>
      </x:c>
      <x:c r="B8" s="10" t="str">
        <x:v>偷大哥</x:v>
      </x:c>
      <x:c r="C8" s="16" t="n">
        <x:v>0</x:v>
      </x:c>
      <x:c r="D8" s="15" t="n">
        <x:v>0</x:v>
      </x:c>
      <x:c r="E8" s="15" t="n">
        <x:v>0</x:v>
      </x:c>
      <x:c r="F8" s="15" t="n">
        <x:v>0</x:v>
      </x:c>
      <x:c r="G8" s="15" t="n">
        <x:v>0</x:v>
      </x:c>
      <x:c r="H8" s="19" t="n">
        <x:f>IF(AND(C8=1,E8&gt;0),MAX(0,E8-MAX(1,INT(E8*0.15))),E8)</x:f>
        <x:v>0</x:v>
      </x:c>
      <x:c r="I8" s="10" t="str">
        <x:v>本人在册且存活时，已解锁主题人物的服务费八折，最多省200克朗，每7日一次。装备与补级费不打折；仅成功雇佣消费机会；不能改变解锁与候选冷却。</x:v>
      </x:c>
      <x:c r="J8" s="10" t="str">
        <x:v>11级：自身每回合额外恢复1疲劳，纳入全Mod额外恢复上限</x:v>
      </x:c>
      <x:c r="K8" s="10" t="str">
        <x:v>重新定义</x:v>
      </x:c>
      <x:c r="L8" s="10" t="str">
        <x:v>大谋在队时，已解锁主题成员的招募费用八折，最多省 200；每 7 日一次，仅成功雇佣消耗机会，不改变成员解锁和刷新间隔。</x:v>
      </x:c>
      <x:c r="M8" s="10" t="str">
        <x:v>steal_bro</x:v>
      </x:c>
    </x:row>
    <x:row r="9" ht="90" customHeight="1">
      <x:c r="A9" s="3" t="str">
        <x:v>午夜抹抹茶</x:v>
      </x:c>
      <x:c r="B9" s="3" t="str">
        <x:v>地精出身</x:v>
      </x:c>
      <x:c r="C9" s="17" t="n">
        <x:v>0</x:v>
      </x:c>
      <x:c r="D9" s="15" t="n">
        <x:v>0</x:v>
      </x:c>
      <x:c r="E9" s="15" t="n">
        <x:v>0</x:v>
      </x:c>
      <x:c r="F9" s="15" t="n">
        <x:v>0</x:v>
      </x:c>
      <x:c r="G9" s="15" t="n">
        <x:v>0</x:v>
      </x:c>
      <x:c r="H9" s="19" t="n">
        <x:f>IF(AND(C9=1,E9&gt;0),MAX(0,E9-MAX(1,INT(E9*0.15))),E9)</x:f>
        <x:v>0</x:v>
      </x:c>
      <x:c r="I9" s="3" t="str">
        <x:v>本人在册且存活时，原版维修每实际消耗7工具返1，每日最多3。只记录外部维修支出，返还不再作为消耗；不按预备队人数复制。</x:v>
      </x:c>
      <x:c r="J9" s="3" t="str">
        <x:v>11级：自身每回合额外恢复1疲劳，纳入全Mod额外恢复上限</x:v>
      </x:c>
      <x:c r="K9" s="3" t="str">
        <x:v>重新定义</x:v>
      </x:c>
      <x:c r="L9" s="3" t="str">
        <x:v>抹茶在队时，原版行军或扎营维修每累计实际消耗 7 工具，返还 1 工具；每日最多返还 3。技能和交易消耗不计入，返还不重复累计。</x:v>
      </x:c>
      <x:c r="M9" s="3" t="str">
        <x:v>scrap_parts</x:v>
      </x:c>
    </x:row>
    <x:row r="10" ht="90" customHeight="1">
      <x:c r="A10" s="10" t="str">
        <x:v>午夜抹抹茶</x:v>
      </x:c>
      <x:c r="B10" s="10" t="str">
        <x:v>地精算盘</x:v>
      </x:c>
      <x:c r="C10" s="16" t="n">
        <x:v>1</x:v>
      </x:c>
      <x:c r="D10" s="15" t="n">
        <x:v>3</x:v>
      </x:c>
      <x:c r="E10" s="15" t="n">
        <x:v>12</x:v>
      </x:c>
      <x:c r="F10" s="15" t="n">
        <x:v>2</x:v>
      </x:c>
      <x:c r="G10" s="15" t="n">
        <x:v>4</x:v>
      </x:c>
      <x:c r="H10" s="19" t="n">
        <x:f>IF(AND(C10=1,E10&gt;0),MAX(0,E10-MAX(1,INT(E10*0.15))),E10)</x:f>
        <x:v>11</x:v>
      </x:c>
      <x:c r="I10" s="10" t="str">
        <x:v>标记一个可见敌人，下一次己方单体武器攻击命中+10，尝试后耗尽，两次施术者回合开始后到期。一人仅一个标记；与全部Mod命中加成合计≤10。</x:v>
      </x:c>
      <x:c r="J10" s="10" t="str">
        <x:v>11级：疲劳成本减少15%，向下取整减免，至少减1；AP/冷却/每战次数不变</x:v>
      </x:c>
      <x:c r="K10" s="10" t="str">
        <x:v>重新定义</x:v>
      </x:c>
      <x:c r="L10" s="10" t="str">
        <x:v>标记 4 格内可见敌人两轮；下一次己方单体武器攻击命中 +10，尝试后消耗。同一人只保留一个标记。 同次攻击的标记与临时命中加成合计最多 +10；负面命中效果另行扣除。</x:v>
      </x:c>
      <x:c r="M10" s="10" t="str">
        <x:v>abacus_mark</x:v>
      </x:c>
    </x:row>
    <x:row r="11" ht="90" customHeight="1">
      <x:c r="A11" s="3" t="str">
        <x:v>午夜抹抹茶</x:v>
      </x:c>
      <x:c r="B11" s="3" t="str">
        <x:v>幕后队长</x:v>
      </x:c>
      <x:c r="C11" s="17" t="n">
        <x:v>1</x:v>
      </x:c>
      <x:c r="D11" s="15" t="n">
        <x:v>3</x:v>
      </x:c>
      <x:c r="E11" s="15" t="n">
        <x:v>12</x:v>
      </x:c>
      <x:c r="F11" s="15" t="n">
        <x:v>2</x:v>
      </x:c>
      <x:c r="G11" s="15" t="n">
        <x:v>3</x:v>
      </x:c>
      <x:c r="H11" s="19" t="n">
        <x:f>IF(AND(C11=1,E11&gt;0),MAX(0,E11-MAX(1,INT(E11*0.15))),E11)</x:f>
        <x:v>11</x:v>
      </x:c>
      <x:c r="I11" s="3" t="str">
        <x:v>一名其他队员的下一次单体武器攻击少耗8疲劳，两次目标回合结束后到期；最低仍耗原消耗的50%向上取整。减耗取最高，优惠不返还AP。</x:v>
      </x:c>
      <x:c r="J11" s="3" t="str">
        <x:v>11级：疲劳成本减少15%，向下取整减免，至少减1；AP/冷却/每战次数不变</x:v>
      </x:c>
      <x:c r="K11" s="3" t="str">
        <x:v>重新定义</x:v>
      </x:c>
      <x:c r="L11" s="3" t="str">
        <x:v>3 格内一名其他队员，下一次单体武器技能少耗 8 疲劳，最低 0；其两次回合结束后到期。优惠取最高一份。</x:v>
      </x:c>
      <x:c r="M11" s="3" t="str">
        <x:v>shadow_captain</x:v>
      </x:c>
    </x:row>
    <x:row r="12" ht="90" customHeight="1">
      <x:c r="A12" s="10" t="str">
        <x:v>小酒瓶</x:v>
      </x:c>
      <x:c r="B12" s="10" t="str">
        <x:v>瓶队突破</x:v>
      </x:c>
      <x:c r="C12" s="16" t="n">
        <x:v>1</x:v>
      </x:c>
      <x:c r="D12" s="15" t="n">
        <x:v>4</x:v>
      </x:c>
      <x:c r="E12" s="15" t="n">
        <x:v>18</x:v>
      </x:c>
      <x:c r="F12" s="15" t="n">
        <x:v>2</x:v>
      </x:c>
      <x:c r="G12" s="15" t="n">
        <x:v>1</x:v>
      </x:c>
      <x:c r="H12" s="19" t="n">
        <x:f>IF(AND(C12=1,E12&gt;0),MAX(0,E12-MAX(1,INT(E12*0.15))),E12)</x:f>
        <x:v>16</x:v>
      </x:c>
      <x:c r="I12" s="10" t="str">
        <x:v>以单手近战武器的普通单体招式攻击，命中 +10；攻击后近战防御 -5，直到自己下次回合开始。命中或落空都会进入冷却。</x:v>
      </x:c>
      <x:c r="J12" s="10" t="str">
        <x:v>11级：疲劳成本减少15%，向下取整减免，至少减1；AP/冷却/每战次数不变</x:v>
      </x:c>
      <x:c r="K12" s="10" t="str">
        <x:v>保留，受全局预算约束</x:v>
      </x:c>
      <x:c r="L12" s="10" t="str">
        <x:v>以单手近战武器的普通单体招式攻击，命中 +10；攻击后近战防御 -5，直到自己下次回合开始。命中或落空都会进入冷却。</x:v>
      </x:c>
      <x:c r="M12" s="10" t="str">
        <x:v>bottle_breakthrough</x:v>
      </x:c>
    </x:row>
    <x:row r="13" ht="90" customHeight="1">
      <x:c r="A13" s="3" t="str">
        <x:v>小酒瓶</x:v>
      </x:c>
      <x:c r="B13" s="3" t="str">
        <x:v>决赛时刻</x:v>
      </x:c>
      <x:c r="C13" s="17" t="n">
        <x:v>0</x:v>
      </x:c>
      <x:c r="D13" s="15" t="n">
        <x:v>0</x:v>
      </x:c>
      <x:c r="E13" s="15" t="n">
        <x:v>0</x:v>
      </x:c>
      <x:c r="F13" s="15" t="n">
        <x:v>0</x:v>
      </x:c>
      <x:c r="G13" s="15" t="n">
        <x:v>0</x:v>
      </x:c>
      <x:c r="H13" s="19" t="n">
        <x:f>IF(AND(C13=1,E13&gt;0),MAX(0,E13-MAX(1,INT(E13*0.15))),E13)</x:f>
        <x:v>0</x:v>
      </x:c>
      <x:c r="I13" s="3" t="str">
        <x:v>从第 5 轮起，近战武器攻击伤害 +10%，每次近战武器技能额外消耗 3 疲劳。</x:v>
      </x:c>
      <x:c r="J13" s="3" t="str">
        <x:v>11级：自身每回合额外恢复1疲劳，纳入全Mod额外恢复上限</x:v>
      </x:c>
      <x:c r="K13" s="3" t="str">
        <x:v>保留，受全局预算约束</x:v>
      </x:c>
      <x:c r="L13" s="3" t="str">
        <x:v>从第 5 轮起，近战武器攻击伤害 +10%，每次近战武器技能额外消耗 3 疲劳。</x:v>
      </x:c>
      <x:c r="M13" s="3" t="str">
        <x:v>finals_moment</x:v>
      </x:c>
    </x:row>
    <x:row r="14" ht="90" customHeight="1">
      <x:c r="A14" s="10" t="str">
        <x:v>小酒瓶</x:v>
      </x:c>
      <x:c r="B14" s="10" t="str">
        <x:v>队友给的球</x:v>
      </x:c>
      <x:c r="C14" s="16" t="n">
        <x:v>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9" t="n">
        <x:f>IF(AND(C14=1,E14&gt;0),MAX(0,E14-MAX(1,INT(E14*0.15))),E14)</x:f>
        <x:v>0</x:v>
      </x:c>
      <x:c r="I14" s="10" t="str">
        <x:v>每轮首次攻击本轮已被其他队员单体武器命中的敌人时，命中 +5；尝试后消耗，不适用于范围攻击。</x:v>
      </x:c>
      <x:c r="J14" s="10" t="str">
        <x:v>11级：自身每回合额外恢复1疲劳，纳入全Mod额外恢复上限</x:v>
      </x:c>
      <x:c r="K14" s="10" t="str">
        <x:v>保留，受全局预算约束</x:v>
      </x:c>
      <x:c r="L14" s="10" t="str">
        <x:v>每轮首次攻击本轮已被其他队员单体武器命中的敌人时，命中 +5；尝试后消耗，不适用于范围攻击。</x:v>
      </x:c>
      <x:c r="M14" s="10" t="str">
        <x:v>teammate_ball</x:v>
      </x:c>
    </x:row>
    <x:row r="15" ht="90" customHeight="1">
      <x:c r="A15" s="3" t="str">
        <x:v>白小帅子</x:v>
      </x:c>
      <x:c r="B15" s="3" t="str">
        <x:v>打鼓</x:v>
      </x:c>
      <x:c r="C15" s="17" t="n">
        <x:v>1</x:v>
      </x:c>
      <x:c r="D15" s="15" t="n">
        <x:v>4</x:v>
      </x:c>
      <x:c r="E15" s="15" t="n">
        <x:v>20</x:v>
      </x:c>
      <x:c r="F15" s="15" t="n">
        <x:v>3</x:v>
      </x:c>
      <x:c r="G15" s="15" t="n">
        <x:v>2</x:v>
      </x:c>
      <x:c r="H15" s="19" t="n">
        <x:f>IF(AND(C15=1,E15&gt;0),MAX(0,E15-MAX(1,INT(E15*0.15))),E15)</x:f>
        <x:v>17</x:v>
      </x:c>
      <x:c r="I15" s="3" t="str">
        <x:v>指定自己或2格内队员为中心，选择最多3名2格内可行动己方角色（可含自身）：下次回合开始恢复6疲劳，决心+5至该回合结束。禁止扩大到12人，援军不追补。</x:v>
      </x:c>
      <x:c r="J15" s="3" t="str">
        <x:v>11级：疲劳成本减少15%，向下取整减免，至少减1；AP/冷却/每战次数不变</x:v>
      </x:c>
      <x:c r="K15" s="3" t="str">
        <x:v>重新定义</x:v>
      </x:c>
      <x:c r="L15" s="3" t="str">
        <x:v>自己和 3 格内队员下一次回合开始额外恢复 8 疲劳，并获得决心 +5 至该回合结束。</x:v>
      </x:c>
      <x:c r="M15" s="3" t="str">
        <x:v>drum</x:v>
      </x:c>
    </x:row>
    <x:row r="16" ht="90" customHeight="1">
      <x:c r="A16" s="10" t="str">
        <x:v>白小帅子</x:v>
      </x:c>
      <x:c r="B16" s="10" t="str">
        <x:v>小心脏</x:v>
      </x:c>
      <x:c r="C16" s="16" t="n">
        <x:v>0</x:v>
      </x:c>
      <x:c r="D16" s="15" t="n">
        <x:v>0</x:v>
      </x:c>
      <x:c r="E16" s="15" t="n">
        <x:v>0</x:v>
      </x:c>
      <x:c r="F16" s="15" t="n">
        <x:v>0</x:v>
      </x:c>
      <x:c r="G16" s="15" t="n">
        <x:v>0</x:v>
      </x:c>
      <x:c r="H16" s="19" t="n">
        <x:f>IF(AND(C16=1,E16&gt;0),MAX(0,E16-MAX(1,INT(E16*0.15))),E16)</x:f>
        <x:v>0</x:v>
      </x:c>
      <x:c r="I16" s="10" t="str">
        <x:v>2 格内没有可行动队员时决心 -8；持盾且与队员相邻时，被攻击时近防 +4。</x:v>
      </x:c>
      <x:c r="J16" s="10" t="str">
        <x:v>11级：自身每回合额外恢复1疲劳，纳入全Mod额外恢复上限</x:v>
      </x:c>
      <x:c r="K16" s="10" t="str">
        <x:v>保留，受全局预算约束</x:v>
      </x:c>
      <x:c r="L16" s="10" t="str">
        <x:v>2 格内没有可行动队员时决心 -8；持盾且与队员相邻时，被攻击时近防 +4。</x:v>
      </x:c>
      <x:c r="M16" s="10" t="str">
        <x:v>small_heart</x:v>
      </x:c>
    </x:row>
    <x:row r="17" ht="90" customHeight="1">
      <x:c r="A17" s="3" t="str">
        <x:v>白小帅子</x:v>
      </x:c>
      <x:c r="B17" s="3" t="str">
        <x:v>守门</x:v>
      </x:c>
      <x:c r="C17" s="17" t="n">
        <x:v>1</x:v>
      </x:c>
      <x:c r="D17" s="15" t="n">
        <x:v>3</x:v>
      </x:c>
      <x:c r="E17" s="15" t="n">
        <x:v>12</x:v>
      </x:c>
      <x:c r="F17" s="15" t="n">
        <x:v>2</x:v>
      </x:c>
      <x:c r="G17" s="15" t="n">
        <x:v>0</x:v>
      </x:c>
      <x:c r="H17" s="19" t="n">
        <x:f>IF(AND(C17=1,E17&gt;0),MAX(0,E17-MAX(1,INT(E17*0.15))),E17)</x:f>
        <x:v>11</x:v>
      </x:c>
      <x:c r="I17" s="3" t="str">
        <x:v>必须持盾，近防+6、免疫推拉，到自己下次回合开始；禁止主动移动。眩晕、网缚、伤害照常；失盾或被强制移动立即终止。</x:v>
      </x:c>
      <x:c r="J17" s="3" t="str">
        <x:v>11级：疲劳成本减少15%，向下取整减免，至少减1；AP/冷却/每战次数不变</x:v>
      </x:c>
      <x:c r="K17" s="3" t="str">
        <x:v>重新定义</x:v>
      </x:c>
      <x:c r="L17" s="3" t="str">
        <x:v>持盾守门至自己下次回合开始：不能主动移动，近防 +4，并免疫期间的推拉位移。伤害与眩晕照常。</x:v>
      </x:c>
      <x:c r="M17" s="3" t="str">
        <x:v>guard_gate</x:v>
      </x:c>
    </x:row>
    <x:row r="18" ht="90" customHeight="1">
      <x:c r="A18" s="10" t="str">
        <x:v>李李超欧</x:v>
      </x:c>
      <x:c r="B18" s="10" t="str">
        <x:v>无法选中</x:v>
      </x:c>
      <x:c r="C18" s="16" t="n">
        <x:v>1</x:v>
      </x:c>
      <x:c r="D18" s="15" t="n">
        <x:v>3</x:v>
      </x:c>
      <x:c r="E18" s="15" t="n">
        <x:v>16</x:v>
      </x:c>
      <x:c r="F18" s="15" t="n">
        <x:v>3</x:v>
      </x:c>
      <x:c r="G18" s="15" t="n">
        <x:v>0</x:v>
      </x:c>
      <x:c r="H18" s="19" t="n">
        <x:f>IF(AND(C18=1,E18&gt;0),MAX(0,E18-MAX(1,INT(E18*0.15))),E18)</x:f>
        <x:v>14</x:v>
      </x:c>
      <x:c r="I18" s="10" t="str">
        <x:v>无相邻敌人才可用：自身远防+20，至下次回合开始。主动攻击或移动即解除。敌人仍能选中且范围攻击照常。每战最多2次。</x:v>
      </x:c>
      <x:c r="J18" s="10" t="str">
        <x:v>11级：疲劳成本减少15%，向下取整减免，至少减1；AP/冷却/每战次数不变</x:v>
      </x:c>
      <x:c r="K18" s="10" t="str">
        <x:v>重新定义</x:v>
      </x:c>
      <x:c r="L18" s="10" t="str">
        <x:v>没有相邻敌人时使用；至自己下次回合开始，敌方单体攻击若有另一名合法队员目标，就不能选中自己。没有替代目标时仍可被攻击。主动攻击会解除；范围攻击不受影响。</x:v>
      </x:c>
      <x:c r="M18" s="10" t="str">
        <x:v>unselectable</x:v>
      </x:c>
    </x:row>
    <x:row r="19" ht="90" customHeight="1">
      <x:c r="A19" s="3" t="str">
        <x:v>李李超欧</x:v>
      </x:c>
      <x:c r="B19" s="3" t="str">
        <x:v>超巨</x:v>
      </x:c>
      <x:c r="C19" s="17" t="n">
        <x:v>0</x:v>
      </x:c>
      <x:c r="D19" s="15" t="n">
        <x:v>0</x:v>
      </x:c>
      <x:c r="E19" s="15" t="n">
        <x:v>0</x:v>
      </x:c>
      <x:c r="F19" s="15" t="n">
        <x:v>0</x:v>
      </x:c>
      <x:c r="G19" s="15" t="n">
        <x:v>0</x:v>
      </x:c>
      <x:c r="H19" s="19" t="n">
        <x:f>IF(AND(C19=1,E19&gt;0),MAX(0,E19-MAX(1,INT(E19*0.15))),E19)</x:f>
        <x:v>0</x:v>
      </x:c>
      <x:c r="I19" s="3" t="str">
        <x:v>单体远程武器每轮首次命中+1聚光、首次落空-1，最多2层；每层远攻+3、决心+3。战后清零，计入Mod命中+10总上限。</x:v>
      </x:c>
      <x:c r="J19" s="3" t="str">
        <x:v>11级：自身每回合额外恢复1疲劳，纳入全Mod额外恢复上限</x:v>
      </x:c>
      <x:c r="K19" s="3" t="str">
        <x:v>重新定义</x:v>
      </x:c>
      <x:c r="L19" s="3" t="str">
        <x:v>单体武器每轮首次命中获得一层聚光，每轮首次落空失去一层；最多三层，每层远攻 +3、决心 +3，战后清零。</x:v>
      </x:c>
      <x:c r="M19" s="3" t="str">
        <x:v>chaoju</x:v>
      </x:c>
    </x:row>
    <x:row r="20" ht="90" customHeight="1">
      <x:c r="A20" s="10" t="str">
        <x:v>李李超欧</x:v>
      </x:c>
      <x:c r="B20" s="10" t="str">
        <x:v>欧气</x:v>
      </x:c>
      <x:c r="C20" s="16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9" t="n">
        <x:f>IF(AND(C20=1,E20&gt;0),MAX(0,E20-MAX(1,INT(E20*0.15))),E20)</x:f>
        <x:v>0</x:v>
      </x:c>
      <x:c r="I20" s="10" t="str">
        <x:v>士气检定失败时获得至少25%的原版重掷机会，与其他重掷来源取高。不重掷命中、伤害、招募或掉落；不是免疫恐惧。</x:v>
      </x:c>
      <x:c r="J20" s="10" t="str">
        <x:v>11级：自身每回合额外恢复1疲劳，纳入全Mod额外恢复上限</x:v>
      </x:c>
      <x:c r="K20" s="10" t="str">
        <x:v>重新定义</x:v>
      </x:c>
      <x:c r="L20" s="10" t="str">
        <x:v>士气检定获得至少 20% 的原版重掷机会；与其他重掷来源取较高值。不重掷命中、伤害和掉落。</x:v>
      </x:c>
      <x:c r="M20" s="10" t="str">
        <x:v>ouqi</x:v>
      </x:c>
    </x:row>
    <x:row r="21" ht="90" customHeight="1">
      <x:c r="A21" s="3" t="str">
        <x:v>小月牙</x:v>
      </x:c>
      <x:c r="B21" s="3" t="str">
        <x:v>超市里</x:v>
      </x:c>
      <x:c r="C21" s="17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0</x:v>
      </x:c>
      <x:c r="H21" s="19" t="n">
        <x:f>IF(AND(C21=1,E21&gt;0),MAX(0,E21-MAX(1,INT(E21*0.15))),E21)</x:f>
        <x:v>0</x:v>
      </x:c>
      <x:c r="I21" s="3" t="str">
        <x:v>本人在册存活时，每日首笔城镇食物购买优惠15%，最多省30克朗；取消/失败不消耗。不能靠拆单多次获得，出售无加成。</x:v>
      </x:c>
      <x:c r="J21" s="3" t="str">
        <x:v>11级：自身每回合额外恢复1疲劳，纳入全Mod额外恢复上限</x:v>
      </x:c>
      <x:c r="K21" s="3" t="str">
        <x:v>重新定义</x:v>
      </x:c>
      <x:c r="L21" s="3" t="str">
        <x:v>小月牙在队时，每日首次在城镇商店成功购买食物享受 15% 折扣，最多省 30 克朗。取消、买不起及无空位不消耗机会；不影响出售。</x:v>
      </x:c>
      <x:c r="M21" s="3" t="str">
        <x:v>supermarket</x:v>
      </x:c>
    </x:row>
    <x:row r="22" ht="90" customHeight="1">
      <x:c r="A22" s="10" t="str">
        <x:v>小月牙</x:v>
      </x:c>
      <x:c r="B22" s="10" t="str">
        <x:v>变态</x:v>
      </x:c>
      <x:c r="C22" s="16" t="n">
        <x:v>0</x:v>
      </x:c>
      <x:c r="D22" s="15" t="n">
        <x:v>0</x:v>
      </x:c>
      <x:c r="E22" s="15" t="n">
        <x:v>0</x:v>
      </x:c>
      <x:c r="F22" s="15" t="n">
        <x:v>0</x:v>
      </x:c>
      <x:c r="G22" s="15" t="n">
        <x:v>0</x:v>
      </x:c>
      <x:c r="H22" s="19" t="n">
        <x:f>IF(AND(C22=1,E22&gt;0),MAX(0,E22-MAX(1,INT(E22*0.15))),E22)</x:f>
        <x:v>0</x:v>
      </x:c>
      <x:c r="I22" s="10" t="str">
        <x:v>单体远程武器切换到与上次不同的敌人时命中+6，每轮一次。首次射击不触发；落空也更新目标。计入全Mod+10总上限。</x:v>
      </x:c>
      <x:c r="J22" s="10" t="str">
        <x:v>11级：自身每回合额外恢复1疲劳，纳入全Mod额外恢复上限</x:v>
      </x:c>
      <x:c r="K22" s="10" t="str">
        <x:v>重新定义</x:v>
      </x:c>
      <x:c r="L22" s="10" t="str">
        <x:v>单体远程武器攻击切换到与上次不同的敌人时，命中 +8，每轮一次。首次射击不触发；落空也记录目标。</x:v>
      </x:c>
      <x:c r="M22" s="10" t="str">
        <x:v>biantai</x:v>
      </x:c>
    </x:row>
    <x:row r="23" ht="90" customHeight="1">
      <x:c r="A23" s="3" t="str">
        <x:v>小月牙</x:v>
      </x:c>
      <x:c r="B23" s="3" t="str">
        <x:v>乐天派</x:v>
      </x:c>
      <x:c r="C23" s="17" t="n">
        <x:v>0</x:v>
      </x:c>
      <x:c r="D23" s="15" t="n">
        <x:v>0</x:v>
      </x:c>
      <x:c r="E23" s="15" t="n">
        <x:v>0</x:v>
      </x:c>
      <x:c r="F23" s="15" t="n">
        <x:v>0</x:v>
      </x:c>
      <x:c r="G23" s="15" t="n">
        <x:v>0</x:v>
      </x:c>
      <x:c r="H23" s="19" t="n">
        <x:f>IF(AND(C23=1,E23&gt;0),MAX(0,E23-MAX(1,INT(E23*0.15))),E23)</x:f>
        <x:v>0</x:v>
      </x:c>
      <x:c r="I23" s="3" t="str">
        <x:v>每战一次，自己回合开始时若处于动摇/崩溃，恢复一级士气并消除4疲劳。不能解除逃跑、魅惑、眩晕；不升到自信。</x:v>
      </x:c>
      <x:c r="J23" s="3" t="str">
        <x:v>11级：自身每回合额外恢复1疲劳，纳入全Mod额外恢复上限</x:v>
      </x:c>
      <x:c r="K23" s="3" t="str">
        <x:v>重新定义</x:v>
      </x:c>
      <x:c r="L23" s="3" t="str">
        <x:v>每战一次：自己回合开始时，若处于动摇或崩溃，恢复一级士气。不能解除逃跑、魅惑或眩晕。</x:v>
      </x:c>
      <x:c r="M23" s="3" t="str">
        <x:v>optimist</x:v>
      </x:c>
    </x:row>
    <x:row r="24" ht="90" customHeight="1">
      <x:c r="A24" s="10" t="str">
        <x:v>余初九</x:v>
      </x:c>
      <x:c r="B24" s="10" t="str">
        <x:v>狗叫</x:v>
      </x:c>
      <x:c r="C24" s="16" t="n">
        <x:v>1</x:v>
      </x:c>
      <x:c r="D24" s="15" t="n">
        <x:v>3</x:v>
      </x:c>
      <x:c r="E24" s="15" t="n">
        <x:v>12</x:v>
      </x:c>
      <x:c r="F24" s="15" t="n">
        <x:v>2</x:v>
      </x:c>
      <x:c r="G24" s="15" t="n">
        <x:v>3</x:v>
      </x:c>
      <x:c r="H24" s="19" t="n">
        <x:f>IF(AND(C24=1,E24&gt;0),MAX(0,E24-MAX(1,INT(E24*0.15))),E24)</x:f>
        <x:v>11</x:v>
      </x:c>
      <x:c r="I24" s="10" t="str">
        <x:v>干扰 3 格内可见的人类或绿皮，使其近战命中 -8，直到目标下次回合结束。不影响亡灵、野兽及免疫恐惧的敌人。同名效果不叠加。</x:v>
      </x:c>
      <x:c r="J24" s="10" t="str">
        <x:v>11级：疲劳成本减少15%，向下取整减免，至少减1；AP/冷却/每战次数不变</x:v>
      </x:c>
      <x:c r="K24" s="10" t="str">
        <x:v>保留，受全局预算约束</x:v>
      </x:c>
      <x:c r="L24" s="10" t="str">
        <x:v>干扰 3 格内可见的人类或绿皮，使其近战命中 -8，直到目标下次回合结束。不影响亡灵、野兽及免疫恐惧的敌人。同名效果不叠加。</x:v>
      </x:c>
      <x:c r="M24" s="10" t="str">
        <x:v>dog_bark</x:v>
      </x:c>
    </x:row>
    <x:row r="25" ht="90" customHeight="1">
      <x:c r="A25" s="3" t="str">
        <x:v>余初九</x:v>
      </x:c>
      <x:c r="B25" s="3" t="str">
        <x:v>忠诚</x:v>
      </x:c>
      <x:c r="C25" s="17" t="n">
        <x:v>0</x:v>
      </x:c>
      <x:c r="D25" s="15" t="n">
        <x:v>0</x:v>
      </x:c>
      <x:c r="E25" s="15" t="n">
        <x:v>0</x:v>
      </x:c>
      <x:c r="F25" s="15" t="n">
        <x:v>0</x:v>
      </x:c>
      <x:c r="G25" s="15" t="n">
        <x:v>0</x:v>
      </x:c>
      <x:c r="H25" s="19" t="n">
        <x:f>IF(AND(C25=1,E25&gt;0),MAX(0,E25-MAX(1,INT(E25*0.15))),E25)</x:f>
        <x:v>0</x:v>
      </x:c>
      <x:c r="I25" s="3" t="str">
        <x:v>与可行动的阿飞相距不超过 2 格时，决心 +10。阿飞未出战或失去行动能力时，依次由王大谋、午夜抹抹茶代任。</x:v>
      </x:c>
      <x:c r="J25" s="3" t="str">
        <x:v>11级：自身每回合额外恢复1疲劳，纳入全Mod额外恢复上限</x:v>
      </x:c>
      <x:c r="K25" s="3" t="str">
        <x:v>保留，受全局预算约束</x:v>
      </x:c>
      <x:c r="L25" s="3" t="str">
        <x:v>与可行动的阿飞相距不超过 2 格时，决心 +10。阿飞未出战或失去行动能力时，依次由王大谋、午夜抹抹茶代任。</x:v>
      </x:c>
      <x:c r="M25" s="3" t="str">
        <x:v>loyalty</x:v>
      </x:c>
    </x:row>
    <x:row r="26" ht="90" customHeight="1">
      <x:c r="A26" s="10" t="str">
        <x:v>余初九</x:v>
      </x:c>
      <x:c r="B26" s="10" t="str">
        <x:v>护团换位</x:v>
      </x:c>
      <x:c r="C26" s="16" t="n">
        <x:v>1</x:v>
      </x:c>
      <x:c r="D26" s="15" t="n">
        <x:v>3</x:v>
      </x:c>
      <x:c r="E26" s="15" t="n">
        <x:v>20</x:v>
      </x:c>
      <x:c r="F26" s="15" t="n">
        <x:v>3</x:v>
      </x:c>
      <x:c r="G26" s="15" t="n">
        <x:v>1</x:v>
      </x:c>
      <x:c r="H26" s="19" t="n">
        <x:f>IF(AND(C26=1,E26&gt;0),MAX(0,E26-MAX(1,INT(E26*0.15))),E26)</x:f>
        <x:v>17</x:v>
      </x:c>
      <x:c r="I26" s="10" t="str">
        <x:v>与相邻同高、可行动己方队员交换位置，免脱离攻击；双方都不能处于网缚、眩晕、不可移动或换位免疫。每战最多2次，移动本身不赠送攻击。</x:v>
      </x:c>
      <x:c r="J26" s="10" t="str">
        <x:v>11级：疲劳成本减少15%，向下取整减免，至少减1；AP/冷却/每战次数不变</x:v>
      </x:c>
      <x:c r="K26" s="10" t="str">
        <x:v>重新定义</x:v>
      </x:c>
      <x:c r="L26" s="10" t="str">
        <x:v>与相邻同高、可行动的己方队员换位，免脱离攻击。双方不得定身、眩晕、不可移动或免疫换位。</x:v>
      </x:c>
      <x:c r="M26" s="10" t="str">
        <x:v>guard_swap</x:v>
      </x:c>
    </x:row>
    <x:row r="27" ht="90" customHeight="1">
      <x:c r="A27" s="3" t="str">
        <x:v>小鱼贝壳</x:v>
      </x:c>
      <x:c r="B27" s="3" t="str">
        <x:v>尼古丁</x:v>
      </x:c>
      <x:c r="C27" s="17" t="n">
        <x:v>1</x:v>
      </x:c>
      <x:c r="D27" s="15" t="n">
        <x:v>2</x:v>
      </x:c>
      <x:c r="E27" s="15" t="n">
        <x:v>0</x:v>
      </x:c>
      <x:c r="F27" s="15" t="n">
        <x:v>0</x:v>
      </x:c>
      <x:c r="G27" s="15" t="n">
        <x:v>0</x:v>
      </x:c>
      <x:c r="H27" s="19" t="n">
        <x:f>IF(AND(C27=1,E27&gt;0),MAX(0,E27-MAX(1,INT(E27*0.15))),E27)</x:f>
        <x:v>0</x:v>
      </x:c>
      <x:c r="I27" s="3" t="str">
        <x:v>每战一次，立即消除 15 点累积疲劳；随后两次自己回合开始时，疲劳恢复量各减少 5。疲劳为零时不能使用。此技能不回复生命。</x:v>
      </x:c>
      <x:c r="J27" s="3" t="str">
        <x:v>11级：尼古丁当场恢复18，透支仍为两次各5</x:v>
      </x:c>
      <x:c r="K27" s="3" t="str">
        <x:v>保留，受全局预算约束</x:v>
      </x:c>
      <x:c r="L27" s="3" t="str">
        <x:v>每战一次，立即消除 15 点累积疲劳；随后两次自己回合开始时，疲劳恢复量各减少 5。疲劳为零时不能使用。此技能不回复生命。</x:v>
      </x:c>
      <x:c r="M27" s="3" t="str">
        <x:v>nicotine</x:v>
      </x:c>
    </x:row>
    <x:row r="28" ht="90" customHeight="1">
      <x:c r="A28" s="10" t="str">
        <x:v>小鱼贝壳</x:v>
      </x:c>
      <x:c r="B28" s="10" t="str">
        <x:v>唯一的男人</x:v>
      </x:c>
      <x:c r="C28" s="16" t="n">
        <x:v>0</x:v>
      </x:c>
      <x:c r="D28" s="15" t="n">
        <x:v>0</x:v>
      </x:c>
      <x:c r="E28" s="15" t="n">
        <x:v>0</x:v>
      </x:c>
      <x:c r="F28" s="15" t="n">
        <x:v>0</x:v>
      </x:c>
      <x:c r="G28" s="15" t="n">
        <x:v>1</x:v>
      </x:c>
      <x:c r="H28" s="19" t="n">
        <x:f>IF(AND(C28=1,E28&gt;0),MAX(0,E28-MAX(1,INT(E28*0.15))),E28)</x:f>
        <x:v>0</x:v>
      </x:c>
      <x:c r="I28" s="10" t="str">
        <x:v>至少一名未持盾的可行动己方队员与自己相邻时，受攻击时近防+5。人数不叠加；与其他Mod常驻条件近防共享+6上限。</x:v>
      </x:c>
      <x:c r="J28" s="10" t="str">
        <x:v>11级：自身每回合额外恢复1疲劳，纳入全Mod额外恢复上限</x:v>
      </x:c>
      <x:c r="K28" s="10" t="str">
        <x:v>重新定义</x:v>
      </x:c>
      <x:c r="L28" s="10" t="str">
        <x:v>与至少一名可行动、未持盾的己方队员相邻时，被攻击时近战防御 +6。不随队员数量叠加。</x:v>
      </x:c>
      <x:c r="M28" s="10" t="str">
        <x:v>only_man</x:v>
      </x:c>
    </x:row>
    <x:row r="29" ht="90" customHeight="1">
      <x:c r="A29" s="3" t="str">
        <x:v>小鱼贝壳</x:v>
      </x:c>
      <x:c r="B29" s="3" t="str">
        <x:v>顶上去</x:v>
      </x:c>
      <x:c r="C29" s="17" t="n">
        <x:v>1</x:v>
      </x:c>
      <x:c r="D29" s="15" t="n">
        <x:v>4</x:v>
      </x:c>
      <x:c r="E29" s="15" t="n">
        <x:v>18</x:v>
      </x:c>
      <x:c r="F29" s="15" t="n">
        <x:v>3</x:v>
      </x:c>
      <x:c r="G29" s="15" t="n">
        <x:v>1</x:v>
      </x:c>
      <x:c r="H29" s="19" t="n">
        <x:f>IF(AND(C29=1,E29&gt;0),MAX(0,E29-MAX(1,INT(E29*0.15))),E29)</x:f>
        <x:v>16</x:v>
      </x:c>
      <x:c r="I29" s="3" t="str">
        <x:v>持盾守原位，直到自己下次回合开始。下一次针对相邻队员的敌方单体近战，若原攻击者也可合法攻击自己，则改由自己承受且总武器伤害×0.85；落空也消耗。每战最多2次。</x:v>
      </x:c>
      <x:c r="J29" s="3" t="str">
        <x:v>11级：疲劳成本减少15%，向下取整减免，至少减1；AP/冷却/每战次数不变</x:v>
      </x:c>
      <x:c r="K29" s="3" t="str">
        <x:v>重新定义</x:v>
      </x:c>
      <x:c r="L29" s="3" t="str">
        <x:v>持盾守住原位保护相邻队员，直到自己下次回合开始。下一次敌方单体近战攻击若也能合法攻击自己，则转由自己承受，伤害减少 15%；落空也消耗保护。</x:v>
      </x:c>
      <x:c r="M29" s="3" t="str">
        <x:v>cover_up</x:v>
      </x:c>
    </x:row>
    <x:row r="30" ht="90" customHeight="1">
      <x:c r="A30" s="10" t="str">
        <x:v>王怼怼</x:v>
      </x:c>
      <x:c r="B30" s="10" t="str">
        <x:v>太子发令</x:v>
      </x:c>
      <x:c r="C30" s="16" t="n">
        <x:v>1</x:v>
      </x:c>
      <x:c r="D30" s="15" t="n">
        <x:v>4</x:v>
      </x:c>
      <x:c r="E30" s="15" t="n">
        <x:v>20</x:v>
      </x:c>
      <x:c r="F30" s="15" t="n">
        <x:v>4</x:v>
      </x:c>
      <x:c r="G30" s="15" t="n">
        <x:v>2</x:v>
      </x:c>
      <x:c r="H30" s="19" t="n">
        <x:f>IF(AND(C30=1,E30&gt;0),MAX(0,E30-MAX(1,INT(E30*0.15))),E30)</x:f>
        <x:v>17</x:v>
      </x:c>
      <x:c r="I30" s="10" t="str">
        <x:v>阿飞未出战或不能行动时，选择2格内最多3名己方角色（含自己），近防+4、决心+8至受益者下次回合结束。每战最多2次；阿飞恢复后不能再发动。</x:v>
      </x:c>
      <x:c r="J30" s="10" t="str">
        <x:v>11级：疲劳成本减少15%，向下取整减免，至少减1；AP/冷却/每战次数不变</x:v>
      </x:c>
      <x:c r="K30" s="10" t="str">
        <x:v>重新定义</x:v>
      </x:c>
      <x:c r="L30" s="10" t="str">
        <x:v>阿飞未出战或无法行动时，为自己与 3 格内队员提供近防 +5、决心 +10，持续到受益者第二次回合结束。阿飞恢复后不可再次发令。</x:v>
      </x:c>
      <x:c r="M30" s="10" t="str">
        <x:v>prince_order</x:v>
      </x:c>
    </x:row>
    <x:row r="31" ht="90" customHeight="1">
      <x:c r="A31" s="3" t="str">
        <x:v>王怼怼</x:v>
      </x:c>
      <x:c r="B31" s="3" t="str">
        <x:v>恐飞派</x:v>
      </x:c>
      <x:c r="C31" s="17" t="n">
        <x:v>0</x:v>
      </x:c>
      <x:c r="D31" s="15" t="n">
        <x:v>0</x:v>
      </x:c>
      <x:c r="E31" s="15" t="n">
        <x:v>0</x:v>
      </x:c>
      <x:c r="F31" s="15" t="n">
        <x:v>0</x:v>
      </x:c>
      <x:c r="G31" s="15" t="n">
        <x:v>3</x:v>
      </x:c>
      <x:c r="H31" s="19" t="n">
        <x:f>IF(AND(C31=1,E31&gt;0),MAX(0,E31-MAX(1,INT(E31*0.15))),E31)</x:f>
        <x:v>0</x:v>
      </x:c>
      <x:c r="I31" s="3" t="str">
        <x:v>每战首次在3格内看到阿飞施放豪气冲天/飞爹在此，自己恢复8疲劳、下一次单体武器命中-5。若本战阿飞未上场，则第一回合开始改为恢复4疲劳；不能同时领两份。</x:v>
      </x:c>
      <x:c r="J31" s="3" t="str">
        <x:v>11级：自身每回合额外恢复1疲劳，纳入全Mod额外恢复上限</x:v>
      </x:c>
      <x:c r="K31" s="3" t="str">
        <x:v>重新定义</x:v>
      </x:c>
      <x:c r="L31" s="3" t="str">
        <x:v>每战首次在 3 格内亲眼见到阿飞使用豪气冲天或飞碟号令时，恢复 8 疲劳；本轮下一次单体武器命中 -5。使用怼一句可提前清除惩罚。</x:v>
      </x:c>
      <x:c r="M31" s="3" t="str">
        <x:v>fear_afei</x:v>
      </x:c>
    </x:row>
    <x:row r="32" ht="90" customHeight="1">
      <x:c r="A32" s="10" t="str">
        <x:v>王怼怼</x:v>
      </x:c>
      <x:c r="B32" s="10" t="str">
        <x:v>怼一句</x:v>
      </x:c>
      <x:c r="C32" s="16" t="n">
        <x:v>1</x:v>
      </x:c>
      <x:c r="D32" s="15" t="n">
        <x:v>3</x:v>
      </x:c>
      <x:c r="E32" s="15" t="n">
        <x:v>12</x:v>
      </x:c>
      <x:c r="F32" s="15" t="n">
        <x:v>2</x:v>
      </x:c>
      <x:c r="G32" s="15" t="n">
        <x:v>3</x:v>
      </x:c>
      <x:c r="H32" s="19" t="n">
        <x:f>IF(AND(C32=1,E32&gt;0),MAX(0,E32-MAX(1,INT(E32*0.15))),E32)</x:f>
        <x:v>11</x:v>
      </x:c>
      <x:c r="I32" s="10" t="str">
        <x:v>一名其他队员近防+4、决心+6至其下次回合结束，同时清除自身恐飞派命中惩罚。临时近防取高。</x:v>
      </x:c>
      <x:c r="J32" s="10" t="str">
        <x:v>11级：疲劳成本减少15%，向下取整减免，至少减1；AP/冷却/每战次数不变</x:v>
      </x:c>
      <x:c r="K32" s="10" t="str">
        <x:v>重新定义</x:v>
      </x:c>
      <x:c r="L32" s="10" t="str">
        <x:v>鼓励 3 格内一名其他队员，近防 +4、决心 +6，持续至其下次回合结束；同时清除自己恐飞派的命中惩罚。</x:v>
      </x:c>
      <x:c r="M32" s="10" t="str">
        <x:v>dui_sentence</x:v>
      </x:c>
    </x:row>
    <x:row r="33" ht="90" customHeight="1">
      <x:c r="A33" s="3" t="str">
        <x:v>老蔡</x:v>
      </x:c>
      <x:c r="B33" s="3" t="str">
        <x:v>稳一手</x:v>
      </x:c>
      <x:c r="C33" s="17" t="n">
        <x:v>1</x:v>
      </x:c>
      <x:c r="D33" s="15" t="n">
        <x:v>4</x:v>
      </x:c>
      <x:c r="E33" s="15" t="n">
        <x:v>18</x:v>
      </x:c>
      <x:c r="F33" s="15" t="n">
        <x:v>3</x:v>
      </x:c>
      <x:c r="G33" s="15" t="n">
        <x:v>1</x:v>
      </x:c>
      <x:c r="H33" s="19" t="n">
        <x:f>IF(AND(C33=1,E33&gt;0),MAX(0,E33-MAX(1,INT(E33*0.15))),E33)</x:f>
        <x:v>16</x:v>
      </x:c>
      <x:c r="I33" s="3" t="str">
        <x:v>必须持盾，对自己和最多两名相邻可行动队员：近防+6、决心+6，至各自下次回合开始。选择后固定受益者，临时护卫近防取高。</x:v>
      </x:c>
      <x:c r="J33" s="3" t="str">
        <x:v>11级：疲劳成本减少15%，向下取整减免，至少减1；AP/冷却/每战次数不变</x:v>
      </x:c>
      <x:c r="K33" s="3" t="str">
        <x:v>重新定义</x:v>
      </x:c>
      <x:c r="L33" s="3" t="str">
        <x:v>持盾鼓励自己与当前相邻的可行动队员：近战防御 +6、决心 +6，分别持续至受益者下次回合开始。护卫类临时加成只取最高值。</x:v>
      </x:c>
      <x:c r="M33" s="3" t="str">
        <x:v>steady_hand</x:v>
      </x:c>
    </x:row>
    <x:row r="34" ht="90" customHeight="1">
      <x:c r="A34" s="10" t="str">
        <x:v>老蔡</x:v>
      </x:c>
      <x:c r="B34" s="10" t="str">
        <x:v>蓝旗布阵</x:v>
      </x:c>
      <x:c r="C34" s="16" t="n">
        <x:v>0</x:v>
      </x:c>
      <x:c r="D34" s="15" t="n">
        <x:v>0</x:v>
      </x:c>
      <x:c r="E34" s="15" t="n">
        <x:v>0</x:v>
      </x:c>
      <x:c r="F34" s="15" t="n">
        <x:v>0</x:v>
      </x:c>
      <x:c r="G34" s="15" t="n">
        <x:v>1</x:v>
      </x:c>
      <x:c r="H34" s="19" t="n">
        <x:f>IF(AND(C34=1,E34&gt;0),MAX(0,E34-MAX(1,INT(E34*0.15))),E34)</x:f>
        <x:v>0</x:v>
      </x:c>
      <x:c r="I34" s="10" t="str">
        <x:v>战斗第一轮开始时，自己与最多两名相邻可行动队员先攻+12；自己前两轮决心+5。第一轮先攻只作用一次，增援不补发。</x:v>
      </x:c>
      <x:c r="J34" s="10" t="str">
        <x:v>11级：自身每回合额外恢复1疲劳，纳入全Mod额外恢复上限</x:v>
      </x:c>
      <x:c r="K34" s="10" t="str">
        <x:v>重新定义</x:v>
      </x:c>
      <x:c r="L34" s="10" t="str">
        <x:v>第一轮开始时，自己与当时相邻的可行动队员先攻 +12，仅持续第一轮，不影响后续援军。重复布阵不叠加。</x:v>
      </x:c>
      <x:c r="M34" s="10" t="str">
        <x:v>blue_form</x:v>
      </x:c>
    </x:row>
    <x:row r="35" ht="90" customHeight="1">
      <x:c r="A35" s="3" t="str">
        <x:v>老蔡</x:v>
      </x:c>
      <x:c r="B35" s="3" t="str">
        <x:v>一张好牌</x:v>
      </x:c>
      <x:c r="C35" s="17" t="n">
        <x:v>0</x:v>
      </x:c>
      <x:c r="D35" s="15" t="n">
        <x:v>0</x:v>
      </x:c>
      <x:c r="E35" s="15" t="n">
        <x:v>0</x:v>
      </x:c>
      <x:c r="F35" s="15" t="n">
        <x:v>0</x:v>
      </x:c>
      <x:c r="G35" s="15" t="n">
        <x:v>0</x:v>
      </x:c>
      <x:c r="H35" s="19" t="n">
        <x:f>IF(AND(C35=1,E35&gt;0),MAX(0,E35-MAX(1,INT(E35*0.15))),E35)</x:f>
        <x:v>0</x:v>
      </x:c>
      <x:c r="I35" s="3" t="str">
        <x:v>某敌人本轮被两名不同队员的单体武器命中后，自己下一次单体近战攻击它时命中+8，每轮一次，尝试即消耗。</x:v>
      </x:c>
      <x:c r="J35" s="3" t="str">
        <x:v>11级：自身每回合额外恢复1疲劳，纳入全Mod额外恢复上限</x:v>
      </x:c>
      <x:c r="K35" s="3" t="str">
        <x:v>重新定义</x:v>
      </x:c>
      <x:c r="L35" s="3" t="str">
        <x:v>同一轮已有两名不同队员以单体武器命中过某敌人后，对它的下一次单体近战命中 +10，每轮一次。</x:v>
      </x:c>
      <x:c r="M35" s="3" t="str">
        <x:v>good_card</x:v>
      </x:c>
    </x:row>
    <x:row r="36" ht="90" customHeight="1">
      <x:c r="A36" s="10" t="str">
        <x:v>眼子哥</x:v>
      </x:c>
      <x:c r="B36" s="10" t="str">
        <x:v>看准再出手</x:v>
      </x:c>
      <x:c r="C36" s="16" t="n">
        <x:v>0</x:v>
      </x:c>
      <x:c r="D36" s="15" t="n">
        <x:v>0</x:v>
      </x:c>
      <x:c r="E36" s="15" t="n">
        <x:v>0</x:v>
      </x:c>
      <x:c r="F36" s="15" t="n">
        <x:v>0</x:v>
      </x:c>
      <x:c r="G36" s="15" t="n">
        <x:v>0</x:v>
      </x:c>
      <x:c r="H36" s="19" t="n">
        <x:f>IF(AND(C36=1,E36&gt;0),MAX(0,E36-MAX(1,INT(E36*0.15))),E36)</x:f>
        <x:v>0</x:v>
      </x:c>
      <x:c r="I36" s="10" t="str">
        <x:v>本次行动尚未移动时，首次单体近战命中+5；尝试消耗，计入Mod命中+10总上限。无额外射程。</x:v>
      </x:c>
      <x:c r="J36" s="10" t="str">
        <x:v>11级：自身每回合额外恢复1疲劳，纳入全Mod额外恢复上限</x:v>
      </x:c>
      <x:c r="K36" s="10" t="str">
        <x:v>新增</x:v>
      </x:c>
      <x:c r="L36" s="10" t="str">
        <x:v>当前成员配置缺失，新增提案</x:v>
      </x:c>
      <x:c r="M36" s="10" t="str">
        <x:v>yanzi_watch</x:v>
      </x:c>
    </x:row>
    <x:row r="37" ht="90" customHeight="1">
      <x:c r="A37" s="3" t="str">
        <x:v>眼子哥</x:v>
      </x:c>
      <x:c r="B37" s="3" t="str">
        <x:v>侧身接线</x:v>
      </x:c>
      <x:c r="C37" s="17" t="n">
        <x:v>1</x:v>
      </x:c>
      <x:c r="D37" s="15" t="n">
        <x:v>3</x:v>
      </x:c>
      <x:c r="E37" s="15" t="n">
        <x:v>14</x:v>
      </x:c>
      <x:c r="F37" s="15" t="n">
        <x:v>2</x:v>
      </x:c>
      <x:c r="G37" s="15" t="n">
        <x:v>1</x:v>
      </x:c>
      <x:c r="H37" s="19" t="n">
        <x:f>IF(AND(C37=1,E37&gt;0),MAX(0,E37-MAX(1,INT(E37*0.15))),E37)</x:f>
        <x:v>12</x:v>
      </x:c>
      <x:c r="I37" s="3" t="str">
        <x:v>必须持盾，为自己与一名相邻可行动队员提供远防+8，至各自下次回合开始；失盾立即结束。临时远防取最高，不获得近防。</x:v>
      </x:c>
      <x:c r="J37" s="3" t="str">
        <x:v>11级：疲劳成本减少15%，向下取整减免，至少减1；AP/冷却/每战次数不变</x:v>
      </x:c>
      <x:c r="K37" s="3" t="str">
        <x:v>新增</x:v>
      </x:c>
      <x:c r="L37" s="3" t="str">
        <x:v>当前成员配置缺失，新增提案</x:v>
      </x:c>
      <x:c r="M37" s="3" t="str">
        <x:v>yanzi_cover</x:v>
      </x:c>
    </x:row>
    <x:row r="38" ht="90" customHeight="1">
      <x:c r="A38" s="10" t="str">
        <x:v>眼子哥</x:v>
      </x:c>
      <x:c r="B38" s="10" t="str">
        <x:v>留一手</x:v>
      </x:c>
      <x:c r="C38" s="16" t="n">
        <x:v>0</x:v>
      </x:c>
      <x:c r="D38" s="15" t="n">
        <x:v>0</x:v>
      </x:c>
      <x:c r="E38" s="15" t="n">
        <x:v>0</x:v>
      </x:c>
      <x:c r="F38" s="15" t="n">
        <x:v>0</x:v>
      </x:c>
      <x:c r="G38" s="15" t="n">
        <x:v>0</x:v>
      </x:c>
      <x:c r="H38" s="19" t="n">
        <x:f>IF(AND(C38=1,E38&gt;0),MAX(0,E38-MAX(1,INT(E38*0.15))),E38)</x:f>
        <x:v>0</x:v>
      </x:c>
      <x:c r="I38" s="10" t="str">
        <x:v>每轮首次躲过敌方单体近战攻击后，本次或下一次自己行动的第一次单体近战命中+6，最迟下次回合结束清除。不会触发免费反击。</x:v>
      </x:c>
      <x:c r="J38" s="10" t="str">
        <x:v>11级：自身每回合额外恢复1疲劳，纳入全Mod额外恢复上限</x:v>
      </x:c>
      <x:c r="K38" s="10" t="str">
        <x:v>新增</x:v>
      </x:c>
      <x:c r="L38" s="10" t="str">
        <x:v>当前成员配置缺失，新增提案</x:v>
      </x:c>
      <x:c r="M38" s="10" t="str">
        <x:v>yanzi_reply</x:v>
      </x:c>
    </x:row>
    <x:row r="39" ht="90" customHeight="1">
      <x:c r="A39" s="3" t="str">
        <x:v>亿口甜筒</x:v>
      </x:c>
      <x:c r="B39" s="3" t="str">
        <x:v>接住后排</x:v>
      </x:c>
      <x:c r="C39" s="17" t="n">
        <x:v>1</x:v>
      </x:c>
      <x:c r="D39" s="15" t="n">
        <x:v>3</x:v>
      </x:c>
      <x:c r="E39" s="15" t="n">
        <x:v>12</x:v>
      </x:c>
      <x:c r="F39" s="15" t="n">
        <x:v>2</x:v>
      </x:c>
      <x:c r="G39" s="15" t="n">
        <x:v>3</x:v>
      </x:c>
      <x:c r="H39" s="19" t="n">
        <x:f>IF(AND(C39=1,E39&gt;0),MAX(0,E39-MAX(1,INT(E39*0.15))),E39)</x:f>
        <x:v>11</x:v>
      </x:c>
      <x:c r="I39" s="3" t="str">
        <x:v>一名其他队员远防+10，下一次回合开始额外恢复4疲劳，至该回合结束。没有额外射击，不消耗弹药。</x:v>
      </x:c>
      <x:c r="J39" s="3" t="str">
        <x:v>11级：疲劳成本减少15%，向下取整减免，至少减1；AP/冷却/每战次数不变</x:v>
      </x:c>
      <x:c r="K39" s="3" t="str">
        <x:v>重新定义</x:v>
      </x:c>
      <x:c r="L39" s="3" t="str">
        <x:v>掩护 3 格内一名其他队员：远防 +8；其下一次回合开始额外恢复 4 疲劳，效果持续至该回合结束。本版不额外射箭或消耗弹药。</x:v>
      </x:c>
      <x:c r="M39" s="3" t="str">
        <x:v>catch_rear</x:v>
      </x:c>
    </x:row>
    <x:row r="40" ht="90" customHeight="1">
      <x:c r="A40" s="10" t="str">
        <x:v>亿口甜筒</x:v>
      </x:c>
      <x:c r="B40" s="10" t="str">
        <x:v>回头箭</x:v>
      </x:c>
      <x:c r="C40" s="16" t="n">
        <x:v>0</x:v>
      </x:c>
      <x:c r="D40" s="15" t="n">
        <x:v>0</x:v>
      </x:c>
      <x:c r="E40" s="15" t="n">
        <x:v>0</x:v>
      </x:c>
      <x:c r="F40" s="15" t="n">
        <x:v>0</x:v>
      </x:c>
      <x:c r="G40" s="15" t="n">
        <x:v>0</x:v>
      </x:c>
      <x:c r="H40" s="19" t="n">
        <x:f>IF(AND(C40=1,E40&gt;0),MAX(0,E40-MAX(1,INT(E40*0.15))),E40)</x:f>
        <x:v>0</x:v>
      </x:c>
      <x:c r="I40" s="10" t="str">
        <x:v>本次行动实际普通移动至少一格后，首次单体远程命中+5，每轮一次；专属位移、换位不计。付移动AP后能否开弓须按原武器核算。</x:v>
      </x:c>
      <x:c r="J40" s="10" t="str">
        <x:v>11级：自身每回合额外恢复1疲劳，纳入全Mod额外恢复上限</x:v>
      </x:c>
      <x:c r="K40" s="10" t="str">
        <x:v>重新定义</x:v>
      </x:c>
      <x:c r="L40" s="10" t="str">
        <x:v>本轮实际走过至少两格普通移动后，首次单体远程武器命中 +7。专属位移和换位不计步数。</x:v>
      </x:c>
      <x:c r="M40" s="10" t="str">
        <x:v>return_arrow</x:v>
      </x:c>
    </x:row>
    <x:row r="41" ht="90" customHeight="1">
      <x:c r="A41" s="3" t="str">
        <x:v>亿口甜筒</x:v>
      </x:c>
      <x:c r="B41" s="3" t="str">
        <x:v>探路</x:v>
      </x:c>
      <x:c r="C41" s="17" t="n">
        <x:v>0</x:v>
      </x:c>
      <x:c r="D41" s="15" t="n">
        <x:v>0</x:v>
      </x:c>
      <x:c r="E41" s="15" t="n">
        <x:v>0</x:v>
      </x:c>
      <x:c r="F41" s="15" t="n">
        <x:v>0</x:v>
      </x:c>
      <x:c r="G41" s="15" t="n">
        <x:v>0</x:v>
      </x:c>
      <x:c r="H41" s="19" t="n">
        <x:f>IF(AND(C41=1,E41&gt;0),MAX(0,E41-MAX(1,INT(E41*0.15))),E41)</x:f>
        <x:v>0</x:v>
      </x:c>
      <x:c r="I41" s="3" t="str">
        <x:v>自身视野+1、前两轮先攻+10；不生成世界地图路线，不增加弹药、射程或夜视。</x:v>
      </x:c>
      <x:c r="J41" s="3" t="str">
        <x:v>11级：自身每回合额外恢复1疲劳，纳入全Mod额外恢复上限</x:v>
      </x:c>
      <x:c r="K41" s="3" t="str">
        <x:v>重新定义</x:v>
      </x:c>
      <x:c r="L41" s="3" t="str">
        <x:v>侦察经验使战场视野 +1；第一轮先攻 +10。当前版本不在世界地图生成路线情报或任务。</x:v>
      </x:c>
      <x:c r="M41" s="3" t="str">
        <x:v>scout_path</x:v>
      </x:c>
    </x:row>
    <x:row r="42" ht="90" customHeight="1">
      <x:c r="A42" s="10" t="str">
        <x:v>小宁</x:v>
      </x:c>
      <x:c r="B42" s="10" t="str">
        <x:v>流口水</x:v>
      </x:c>
      <x:c r="C42" s="16" t="n">
        <x:v>1</x:v>
      </x:c>
      <x:c r="D42" s="15" t="n">
        <x:v>3</x:v>
      </x:c>
      <x:c r="E42" s="15" t="n">
        <x:v>12</x:v>
      </x:c>
      <x:c r="F42" s="15" t="n">
        <x:v>2</x:v>
      </x:c>
      <x:c r="G42" s="15" t="n">
        <x:v>3</x:v>
      </x:c>
      <x:c r="H42" s="19" t="n">
        <x:f>IF(AND(C42=1,E42&gt;0),MAX(0,E42-MAX(1,INT(E42*0.15))),E42)</x:f>
        <x:v>11</x:v>
      </x:c>
      <x:c r="I42" s="10" t="str">
        <x:v>3格内可见人类/绿皮先攻-20、远攻-8至目标下次回合结束。免疫恐惧者、亡灵、野兽无效；同名取高，不能降低AP。</x:v>
      </x:c>
      <x:c r="J42" s="10" t="str">
        <x:v>11级：疲劳成本减少15%，向下取整减免，至少减1；AP/冷却/每战次数不变</x:v>
      </x:c>
      <x:c r="K42" s="10" t="str">
        <x:v>重新定义</x:v>
      </x:c>
      <x:c r="L42" s="10" t="str">
        <x:v>干扰 3 格内可见人类或绿皮：先攻 -20、远攻 -5，至目标下次回合结束；免疫恐惧者不受影响。</x:v>
      </x:c>
      <x:c r="M42" s="10" t="str">
        <x:v>drool</x:v>
      </x:c>
    </x:row>
    <x:row r="43" ht="90" customHeight="1">
      <x:c r="A43" s="3" t="str">
        <x:v>小宁</x:v>
      </x:c>
      <x:c r="B43" s="3" t="str">
        <x:v>外星人的观察</x:v>
      </x:c>
      <x:c r="C43" s="17" t="n">
        <x:v>0</x:v>
      </x:c>
      <x:c r="D43" s="15" t="n">
        <x:v>0</x:v>
      </x:c>
      <x:c r="E43" s="15" t="n">
        <x:v>0</x:v>
      </x:c>
      <x:c r="F43" s="15" t="n">
        <x:v>0</x:v>
      </x:c>
      <x:c r="G43" s="15" t="n">
        <x:v>0</x:v>
      </x:c>
      <x:c r="H43" s="19" t="n">
        <x:f>IF(AND(C43=1,E43&gt;0),MAX(0,E43-MAX(1,INT(E43*0.15))),E43)</x:f>
        <x:v>0</x:v>
      </x:c>
      <x:c r="I43" s="3" t="str">
        <x:v>本次行动尚未移动时单体远程命中+5，普通/技能/强制移动均使本次行动失效。与其他Mod命中加成合计≤10。</x:v>
      </x:c>
      <x:c r="J43" s="3" t="str">
        <x:v>11级：自身每回合额外恢复1疲劳，纳入全Mod额外恢复上限</x:v>
      </x:c>
      <x:c r="K43" s="3" t="str">
        <x:v>重新定义</x:v>
      </x:c>
      <x:c r="L43" s="3" t="str">
        <x:v>本次行动尚未移动时，单体远程武器命中 +6；移动后失效。</x:v>
      </x:c>
      <x:c r="M43" s="3" t="str">
        <x:v>alien_eye</x:v>
      </x:c>
    </x:row>
    <x:row r="44" ht="90" customHeight="1">
      <x:c r="A44" s="10" t="str">
        <x:v>小宁</x:v>
      </x:c>
      <x:c r="B44" s="10" t="str">
        <x:v>信号延迟</x:v>
      </x:c>
      <x:c r="C44" s="16" t="n">
        <x:v>0</x:v>
      </x:c>
      <x:c r="D44" s="15" t="n">
        <x:v>0</x:v>
      </x:c>
      <x:c r="E44" s="15" t="n">
        <x:v>0</x:v>
      </x:c>
      <x:c r="F44" s="15" t="n">
        <x:v>0</x:v>
      </x:c>
      <x:c r="G44" s="15" t="n">
        <x:v>0</x:v>
      </x:c>
      <x:c r="H44" s="19" t="n">
        <x:f>IF(AND(C44=1,E44&gt;0),MAX(0,E44-MAX(1,INT(E44*0.15))),E44)</x:f>
        <x:v>0</x:v>
      </x:c>
      <x:c r="I44" s="10" t="str">
        <x:v>每轮首次单体远程落空后，下次单体远程命中+8，尝试后消耗，最迟下轮结束清零；不允许反复故意射空累积。</x:v>
      </x:c>
      <x:c r="J44" s="10" t="str">
        <x:v>11级：自身每回合额外恢复1疲劳，纳入全Mod额外恢复上限</x:v>
      </x:c>
      <x:c r="K44" s="10" t="str">
        <x:v>重新定义</x:v>
      </x:c>
      <x:c r="L44" s="10" t="str">
        <x:v>每轮首次单体远程攻击落空后，下一次单体远程命中 +8，最迟下轮结束清除。</x:v>
      </x:c>
      <x:c r="M44" s="10" t="str">
        <x:v>signal_delay</x:v>
      </x:c>
    </x:row>
    <x:row r="45" ht="90" customHeight="1">
      <x:c r="A45" s="3" t="str">
        <x:v>小胖徐不快乐</x:v>
      </x:c>
      <x:c r="B45" s="3" t="str">
        <x:v>借你半面盾</x:v>
      </x:c>
      <x:c r="C45" s="17" t="n">
        <x:v>1</x:v>
      </x:c>
      <x:c r="D45" s="15" t="n">
        <x:v>3</x:v>
      </x:c>
      <x:c r="E45" s="15" t="n">
        <x:v>12</x:v>
      </x:c>
      <x:c r="F45" s="15" t="n">
        <x:v>2</x:v>
      </x:c>
      <x:c r="G45" s="15" t="n">
        <x:v>1</x:v>
      </x:c>
      <x:c r="H45" s="19" t="n">
        <x:f>IF(AND(C45=1,E45&gt;0),MAX(0,E45-MAX(1,INT(E45*0.15))),E45)</x:f>
        <x:v>11</x:v>
      </x:c>
      <x:c r="I45" s="3" t="str">
        <x:v>持盾给一名相邻队员近防+4、决心+4，至其下次回合结束；失盾或断开相邻立即结束。11级仅减少疲劳，不再额外把近防叠到+6。</x:v>
      </x:c>
      <x:c r="J45" s="3" t="str">
        <x:v>11级：疲劳成本减少15%，向下取整减免，至少减1；AP/冷却/每战次数不变</x:v>
      </x:c>
      <x:c r="K45" s="3" t="str">
        <x:v>重新定义</x:v>
      </x:c>
      <x:c r="L45" s="3" t="str">
        <x:v>给相邻队员近防 +4、决心 +4，至其第二次回合结束。11 级精通后近防变为 +6。</x:v>
      </x:c>
      <x:c r="M45" s="3" t="str">
        <x:v>pang_share</x:v>
      </x:c>
    </x:row>
    <x:row r="46" ht="90" customHeight="1">
      <x:c r="A46" s="10" t="str">
        <x:v>小胖徐不快乐</x:v>
      </x:c>
      <x:c r="B46" s="10" t="str">
        <x:v>踩稳节拍</x:v>
      </x:c>
      <x:c r="C46" s="16" t="n">
        <x:v>0</x:v>
      </x:c>
      <x:c r="D46" s="15" t="n">
        <x:v>0</x:v>
      </x:c>
      <x:c r="E46" s="15" t="n">
        <x:v>0</x:v>
      </x:c>
      <x:c r="F46" s="15" t="n">
        <x:v>0</x:v>
      </x:c>
      <x:c r="G46" s="15" t="n">
        <x:v>0</x:v>
      </x:c>
      <x:c r="H46" s="19" t="n">
        <x:f>IF(AND(C46=1,E46&gt;0),MAX(0,E46-MAX(1,INT(E46*0.15))),E46)</x:f>
        <x:v>0</x:v>
      </x:c>
      <x:c r="I46" s="10" t="str">
        <x:v>按稳街舞的步点：持盾且与可行动队员相邻时，被攻击时近防 +4。</x:v>
      </x:c>
      <x:c r="J46" s="10" t="str">
        <x:v>11级：自身每回合额外恢复1疲劳，纳入全Mod额外恢复上限</x:v>
      </x:c>
      <x:c r="K46" s="10" t="str">
        <x:v>保留，受全局预算约束</x:v>
      </x:c>
      <x:c r="L46" s="10" t="str">
        <x:v>按稳街舞的步点：持盾且与可行动队员相邻时，被攻击时近防 +4。</x:v>
      </x:c>
      <x:c r="M46" s="10" t="str">
        <x:v>pang_anchor</x:v>
      </x:c>
    </x:row>
    <x:row r="47" ht="90" customHeight="1">
      <x:c r="A47" s="3" t="str">
        <x:v>小胖徐不快乐</x:v>
      </x:c>
      <x:c r="B47" s="3" t="str">
        <x:v>挨过这一拍</x:v>
      </x:c>
      <x:c r="C47" s="17" t="n">
        <x:v>0</x:v>
      </x:c>
      <x:c r="D47" s="15" t="n">
        <x:v>0</x:v>
      </x:c>
      <x:c r="E47" s="15" t="n">
        <x:v>0</x:v>
      </x:c>
      <x:c r="F47" s="15" t="n">
        <x:v>0</x:v>
      </x:c>
      <x:c r="G47" s="15" t="n">
        <x:v>0</x:v>
      </x:c>
      <x:c r="H47" s="19" t="n">
        <x:f>IF(AND(C47=1,E47&gt;0),MAX(0,E47-MAX(1,INT(E47*0.15))),E47)</x:f>
        <x:v>0</x:v>
      </x:c>
      <x:c r="I47" s="3" t="str">
        <x:v>每轮首次受到敌方直接武器攻击并存活后恢复3疲劳；零伤害命中也算一次，闪避与持续伤害不触发。</x:v>
      </x:c>
      <x:c r="J47" s="3" t="str">
        <x:v>11级：自身每回合额外恢复1疲劳，纳入全Mod额外恢复上限</x:v>
      </x:c>
      <x:c r="K47" s="3" t="str">
        <x:v>重新定义</x:v>
      </x:c>
      <x:c r="L47" s="3" t="str">
        <x:v>每轮首次承受敌方直接武器攻击并存活后恢复 3 疲劳；持续伤害不触发。</x:v>
      </x:c>
      <x:c r="M47" s="3" t="str">
        <x:v>pang_breath</x:v>
      </x:c>
    </x:row>
    <x:row r="48" ht="90" customHeight="1">
      <x:c r="A48" s="10" t="str">
        <x:v>大鹅</x:v>
      </x:c>
      <x:c r="B48" s="10" t="str">
        <x:v>守窝</x:v>
      </x:c>
      <x:c r="C48" s="16" t="n">
        <x:v>1</x:v>
      </x:c>
      <x:c r="D48" s="15" t="n">
        <x:v>3</x:v>
      </x:c>
      <x:c r="E48" s="15" t="n">
        <x:v>14</x:v>
      </x:c>
      <x:c r="F48" s="15" t="n">
        <x:v>2</x:v>
      </x:c>
      <x:c r="G48" s="15" t="n">
        <x:v>1</x:v>
      </x:c>
      <x:c r="H48" s="19" t="n">
        <x:f>IF(AND(C48=1,E48&gt;0),MAX(0,E48-MAX(1,INT(E48*0.15))),E48)</x:f>
        <x:v>12</x:v>
      </x:c>
      <x:c r="I48" s="10" t="str">
        <x:v>持盾守原位，自己与最多两名相邻队员远防+8，至大鹅下次回合开始。大鹅移动/失盾/无法行动，或队友不再相邻时失效。</x:v>
      </x:c>
      <x:c r="J48" s="10" t="str">
        <x:v>11级：疲劳成本减少15%，向下取整减免，至少减1；AP/冷却/每战次数不变</x:v>
      </x:c>
      <x:c r="K48" s="10" t="str">
        <x:v>重新定义</x:v>
      </x:c>
      <x:c r="L48" s="10" t="str">
        <x:v>持盾守住原位，自己与使用时相邻的队员远程防御 +6，直到大鹅下次回合开始。离开原位、失去盾牌或行动能力时失效；队友离开相邻位置时不受益。</x:v>
      </x:c>
      <x:c r="M48" s="10" t="str">
        <x:v>guard_nest</x:v>
      </x:c>
    </x:row>
    <x:row r="49" ht="90" customHeight="1">
      <x:c r="A49" s="3" t="str">
        <x:v>大鹅</x:v>
      </x:c>
      <x:c r="B49" s="3" t="str">
        <x:v>鹅势欺人</x:v>
      </x:c>
      <x:c r="C49" s="17" t="n">
        <x:v>0</x:v>
      </x:c>
      <x:c r="D49" s="15" t="n">
        <x:v>0</x:v>
      </x:c>
      <x:c r="E49" s="15" t="n">
        <x:v>0</x:v>
      </x:c>
      <x:c r="F49" s="15" t="n">
        <x:v>0</x:v>
      </x:c>
      <x:c r="G49" s="15" t="n">
        <x:v>0</x:v>
      </x:c>
      <x:c r="H49" s="19" t="n">
        <x:f>IF(AND(C49=1,E49&gt;0),MAX(0,E49-MAX(1,INT(E49*0.15))),E49)</x:f>
        <x:v>0</x:v>
      </x:c>
      <x:c r="I49" s="3" t="str">
        <x:v>至少与一名敌人相邻，且相邻的其他可行动队员数不少于相邻敌人数时，决心 +5、近战武器命中 +5。</x:v>
      </x:c>
      <x:c r="J49" s="3" t="str">
        <x:v>11级：自身每回合额外恢复1疲劳，纳入全Mod额外恢复上限</x:v>
      </x:c>
      <x:c r="K49" s="3" t="str">
        <x:v>保留，受全局预算约束</x:v>
      </x:c>
      <x:c r="L49" s="3" t="str">
        <x:v>至少与一名敌人相邻，且相邻的其他可行动队员数不少于相邻敌人数时，决心 +5、近战武器命中 +5。</x:v>
      </x:c>
      <x:c r="M49" s="3" t="str">
        <x:v>goose_bully</x:v>
      </x:c>
    </x:row>
    <x:row r="50" ht="90" customHeight="1">
      <x:c r="A50" s="10" t="str">
        <x:v>大鹅</x:v>
      </x:c>
      <x:c r="B50" s="10" t="str">
        <x:v>嘎嘎冲</x:v>
      </x:c>
      <x:c r="C50" s="16" t="n">
        <x:v>1</x:v>
      </x:c>
      <x:c r="D50" s="15" t="n">
        <x:v>4</x:v>
      </x:c>
      <x:c r="E50" s="15" t="n">
        <x:v>20</x:v>
      </x:c>
      <x:c r="F50" s="15" t="n">
        <x:v>2</x:v>
      </x:c>
      <x:c r="G50" s="15" t="n">
        <x:v>1</x:v>
      </x:c>
      <x:c r="H50" s="19" t="n">
        <x:f>IF(AND(C50=1,E50&gt;0),MAX(0,E50-MAX(1,INT(E50*0.15))),E50)</x:f>
        <x:v>17</x:v>
      </x:c>
      <x:c r="I50" s="10" t="str">
        <x:v>单手近战普通单体招式，命中-5、护甲伤害×1.20；不移动不击退、不额外攻击。伤害沿用所持武器，不能模拟双手技能。</x:v>
      </x:c>
      <x:c r="J50" s="10" t="str">
        <x:v>11级：疲劳成本减少15%，向下取整减免，至少减1；AP/冷却/每战次数不变</x:v>
      </x:c>
      <x:c r="K50" s="10" t="str">
        <x:v>重新定义</x:v>
      </x:c>
      <x:c r="L50" s="10" t="str">
        <x:v>用单手近战武器对相邻敌人猛击，命中 -5、护甲伤害 +20%。当前版本原地出手，不附带冲锋位移或击退。</x:v>
      </x:c>
      <x:c r="M50" s="10" t="str">
        <x:v>gaga_charge</x:v>
      </x:c>
    </x:row>
    <x:row r="51" ht="90" customHeight="1">
      <x:c r="A51" s="3" t="str">
        <x:v>蔓越莓</x:v>
      </x:c>
      <x:c r="B51" s="3" t="str">
        <x:v>红线记号</x:v>
      </x:c>
      <x:c r="C51" s="17" t="n">
        <x:v>1</x:v>
      </x:c>
      <x:c r="D51" s="15" t="n">
        <x:v>2</x:v>
      </x:c>
      <x:c r="E51" s="15" t="n">
        <x:v>10</x:v>
      </x:c>
      <x:c r="F51" s="15" t="n">
        <x:v>2</x:v>
      </x:c>
      <x:c r="G51" s="15" t="n">
        <x:v>4</x:v>
      </x:c>
      <x:c r="H51" s="19" t="n">
        <x:f>IF(AND(C51=1,E51&gt;0),MAX(0,E51-MAX(1,INT(E51*0.15))),E51)</x:f>
        <x:v>9</x:v>
      </x:c>
      <x:c r="I51" s="3" t="str">
        <x:v>标记一个4格内可见敌人，下一次己方单体远程命中+8，尝试消耗，最多持续两轮；每位施术者只保留一个，命中加成总上限+10。</x:v>
      </x:c>
      <x:c r="J51" s="3" t="str">
        <x:v>11级：疲劳成本减少15%，向下取整减免，至少减1；AP/冷却/每战次数不变</x:v>
      </x:c>
      <x:c r="K51" s="3" t="str">
        <x:v>重新定义</x:v>
      </x:c>
      <x:c r="L51" s="3" t="str">
        <x:v>给 4 格内可见敌人留下红线；下一次己方单体远程武器命中 +8，尝试后消耗，最多持续两轮。自己只保留一个红线记号。 同次攻击的标记与临时命中加成合计最多 +10；负面命中效果另行扣除。</x:v>
      </x:c>
      <x:c r="M51" s="3" t="str">
        <x:v>berry_mark</x:v>
      </x:c>
    </x:row>
    <x:row r="52" ht="90" customHeight="1">
      <x:c r="A52" s="10" t="str">
        <x:v>蔓越莓</x:v>
      </x:c>
      <x:c r="B52" s="10" t="str">
        <x:v>看清缝隙</x:v>
      </x:c>
      <x:c r="C52" s="16" t="n">
        <x:v>0</x:v>
      </x:c>
      <x:c r="D52" s="15" t="n">
        <x:v>0</x:v>
      </x:c>
      <x:c r="E52" s="15" t="n">
        <x:v>0</x:v>
      </x:c>
      <x:c r="F52" s="15" t="n">
        <x:v>0</x:v>
      </x:c>
      <x:c r="G52" s="15" t="n">
        <x:v>0</x:v>
      </x:c>
      <x:c r="H52" s="19" t="n">
        <x:f>IF(AND(C52=1,E52&gt;0),MAX(0,E52-MAX(1,INT(E52*0.15))),E52)</x:f>
        <x:v>0</x:v>
      </x:c>
      <x:c r="I52" s="10" t="str">
        <x:v>攻击与己方队员相邻的敌人时，每轮首次单体远程命中 +5。</x:v>
      </x:c>
      <x:c r="J52" s="10" t="str">
        <x:v>11级：自身每回合额外恢复1疲劳，纳入全Mod额外恢复上限</x:v>
      </x:c>
      <x:c r="K52" s="10" t="str">
        <x:v>保留，受全局预算约束</x:v>
      </x:c>
      <x:c r="L52" s="10" t="str">
        <x:v>攻击与己方队员相邻的敌人时，每轮首次单体远程命中 +5。</x:v>
      </x:c>
      <x:c r="M52" s="10" t="str">
        <x:v>berry_eye</x:v>
      </x:c>
    </x:row>
    <x:row r="53" ht="90" customHeight="1">
      <x:c r="A53" s="3" t="str">
        <x:v>蔓越莓</x:v>
      </x:c>
      <x:c r="B53" s="3" t="str">
        <x:v>留一支给后面</x:v>
      </x:c>
      <x:c r="C53" s="17" t="n">
        <x:v>0</x:v>
      </x:c>
      <x:c r="D53" s="15" t="n">
        <x:v>0</x:v>
      </x:c>
      <x:c r="E53" s="15" t="n">
        <x:v>0</x:v>
      </x:c>
      <x:c r="F53" s="15" t="n">
        <x:v>0</x:v>
      </x:c>
      <x:c r="G53" s="15" t="n">
        <x:v>0</x:v>
      </x:c>
      <x:c r="H53" s="19" t="n">
        <x:f>IF(AND(C53=1,E53&gt;0),MAX(0,E53-MAX(1,INT(E53*0.15))),E53)</x:f>
        <x:v>0</x:v>
      </x:c>
      <x:c r="I53" s="3" t="str">
        <x:v>每轮首次单体远程命中与队员相邻的敌人后恢复3疲劳；一次攻击只结算一次，不按受击目标数倍增。</x:v>
      </x:c>
      <x:c r="J53" s="3" t="str">
        <x:v>11级：自身每回合额外恢复1疲劳，纳入全Mod额外恢复上限</x:v>
      </x:c>
      <x:c r="K53" s="3" t="str">
        <x:v>重新定义</x:v>
      </x:c>
      <x:c r="L53" s="3" t="str">
        <x:v>每轮首次以单体远程武器命中与队员相邻的敌人后，恢复 2 疲劳。</x:v>
      </x:c>
      <x:c r="M53" s="3" t="str">
        <x:v>berry_reserve</x:v>
      </x:c>
    </x:row>
    <x:row r="54" ht="90" customHeight="1">
      <x:c r="A54" s="10" t="str">
        <x:v>罗一可</x:v>
      </x:c>
      <x:c r="B54" s="10" t="str">
        <x:v>轻声提醒</x:v>
      </x:c>
      <x:c r="C54" s="16" t="n">
        <x:v>1</x:v>
      </x:c>
      <x:c r="D54" s="15" t="n">
        <x:v>3</x:v>
      </x:c>
      <x:c r="E54" s="15" t="n">
        <x:v>12</x:v>
      </x:c>
      <x:c r="F54" s="15" t="n">
        <x:v>2</x:v>
      </x:c>
      <x:c r="G54" s="15" t="n">
        <x:v>2</x:v>
      </x:c>
      <x:c r="H54" s="19" t="n">
        <x:f>IF(AND(C54=1,E54&gt;0),MAX(0,E54-MAX(1,INT(E54*0.15))),E54)</x:f>
        <x:v>11</x:v>
      </x:c>
      <x:c r="I54" s="10" t="str">
        <x:v>一名其他队员近防+3、决心+8至其下次回合结束。与其他护卫临时近防取高；不治疗不复活。</x:v>
      </x:c>
      <x:c r="J54" s="10" t="str">
        <x:v>11级：疲劳成本减少15%，向下取整减免，至少减1；AP/冷却/每战次数不变</x:v>
      </x:c>
      <x:c r="K54" s="10" t="str">
        <x:v>重新定义</x:v>
      </x:c>
      <x:c r="L54" s="10" t="str">
        <x:v>照应 2 格内一名其他队员，近防 +3、决心 +8，至其下次回合结束。</x:v>
      </x:c>
      <x:c r="M54" s="10" t="str">
        <x:v>gentle_note</x:v>
      </x:c>
    </x:row>
    <x:row r="55" ht="90" customHeight="1">
      <x:c r="A55" s="3" t="str">
        <x:v>罗一可</x:v>
      </x:c>
      <x:c r="B55" s="3" t="str">
        <x:v>有人同行</x:v>
      </x:c>
      <x:c r="C55" s="17" t="n">
        <x:v>0</x:v>
      </x:c>
      <x:c r="D55" s="15" t="n">
        <x:v>0</x:v>
      </x:c>
      <x:c r="E55" s="15" t="n">
        <x:v>0</x:v>
      </x:c>
      <x:c r="F55" s="15" t="n">
        <x:v>0</x:v>
      </x:c>
      <x:c r="G55" s="15" t="n">
        <x:v>2</x:v>
      </x:c>
      <x:c r="H55" s="19" t="n">
        <x:f>IF(AND(C55=1,E55&gt;0),MAX(0,E55-MAX(1,INT(E55*0.15))),E55)</x:f>
        <x:v>0</x:v>
      </x:c>
      <x:c r="I55" s="3" t="str">
        <x:v>与可行动队员相距≤2格时，自己决心+6、先攻+5。没有人数加成，不对队友传播。</x:v>
      </x:c>
      <x:c r="J55" s="3" t="str">
        <x:v>11级：自身每回合额外恢复1疲劳，纳入全Mod额外恢复上限</x:v>
      </x:c>
      <x:c r="K55" s="3" t="str">
        <x:v>重新定义</x:v>
      </x:c>
      <x:c r="L55" s="3" t="str">
        <x:v>与可行动队员相距不超过 2 格时，决心 +6。</x:v>
      </x:c>
      <x:c r="M55" s="3" t="str">
        <x:v>companion</x:v>
      </x:c>
    </x:row>
    <x:row r="56" ht="90" customHeight="1">
      <x:c r="A56" s="10" t="str">
        <x:v>罗一可</x:v>
      </x:c>
      <x:c r="B56" s="10" t="str">
        <x:v>留口气</x:v>
      </x:c>
      <x:c r="C56" s="16" t="n">
        <x:v>0</x:v>
      </x:c>
      <x:c r="D56" s="15" t="n">
        <x:v>0</x:v>
      </x:c>
      <x:c r="E56" s="15" t="n">
        <x:v>0</x:v>
      </x:c>
      <x:c r="F56" s="15" t="n">
        <x:v>0</x:v>
      </x:c>
      <x:c r="G56" s="15" t="n">
        <x:v>0</x:v>
      </x:c>
      <x:c r="H56" s="19" t="n">
        <x:f>IF(AND(C56=1,E56&gt;0),MAX(0,E56-MAX(1,INT(E56*0.15))),E56)</x:f>
        <x:v>0</x:v>
      </x:c>
      <x:c r="I56" s="10" t="str">
        <x:v>本次行动没有使用主动技能且没有相邻敌人，回合结束恢复6疲劳，每轮一次。不可同时获得主动攻击收益。</x:v>
      </x:c>
      <x:c r="J56" s="10" t="str">
        <x:v>11级：自身每回合额外恢复1疲劳，纳入全Mod额外恢复上限</x:v>
      </x:c>
      <x:c r="K56" s="10" t="str">
        <x:v>重新定义</x:v>
      </x:c>
      <x:c r="L56" s="10" t="str">
        <x:v>自己回合结束时，若本次行动没有使用主动技能且没有相邻敌人，恢复 4 疲劳，每轮一次。</x:v>
      </x:c>
      <x:c r="M56" s="10" t="str">
        <x:v>spare_breath</x:v>
      </x:c>
    </x:row>
    <x:row r="57" ht="90" customHeight="1">
      <x:c r="A57" s="3" t="str">
        <x:v>可可</x:v>
      </x:c>
      <x:c r="B57" s="3" t="str">
        <x:v>保可梦</x:v>
      </x:c>
      <x:c r="C57" s="17" t="n">
        <x:v>1</x:v>
      </x:c>
      <x:c r="D57" s="15" t="n">
        <x:v>3</x:v>
      </x:c>
      <x:c r="E57" s="15" t="n">
        <x:v>12</x:v>
      </x:c>
      <x:c r="F57" s="15" t="n">
        <x:v>2</x:v>
      </x:c>
      <x:c r="G57" s="15" t="n">
        <x:v>1</x:v>
      </x:c>
      <x:c r="H57" s="19" t="n">
        <x:f>IF(AND(C57=1,E57&gt;0),MAX(0,E57-MAX(1,INT(E57*0.15))),E57)</x:f>
        <x:v>11</x:v>
      </x:c>
      <x:c r="I57" s="3" t="str">
        <x:v>持盾保护一名相邻队员：近防+4、远防+8至其下次回合结束；可可须保持可行动、持盾且相邻。护卫近防取高。</x:v>
      </x:c>
      <x:c r="J57" s="3" t="str">
        <x:v>11级：疲劳成本减少15%，向下取整减免，至少减1；AP/冷却/每战次数不变</x:v>
      </x:c>
      <x:c r="K57" s="3" t="str">
        <x:v>重新定义</x:v>
      </x:c>
      <x:c r="L57" s="3" t="str">
        <x:v>持盾照应一名相邻队员：近战防御 +4、远程防御 +8，持续到其第二次回合结束。双方须保持相邻且可可可行动并持盾。护卫类临时加成只取最高值。</x:v>
      </x:c>
      <x:c r="M57" s="3" t="str">
        <x:v>pokemon</x:v>
      </x:c>
    </x:row>
    <x:row r="58" ht="90" customHeight="1">
      <x:c r="A58" s="10" t="str">
        <x:v>可可</x:v>
      </x:c>
      <x:c r="B58" s="10" t="str">
        <x:v>松口气</x:v>
      </x:c>
      <x:c r="C58" s="16" t="n">
        <x:v>0</x:v>
      </x:c>
      <x:c r="D58" s="15" t="n">
        <x:v>0</x:v>
      </x:c>
      <x:c r="E58" s="15" t="n">
        <x:v>0</x:v>
      </x:c>
      <x:c r="F58" s="15" t="n">
        <x:v>0</x:v>
      </x:c>
      <x:c r="G58" s="15" t="n">
        <x:v>1</x:v>
      </x:c>
      <x:c r="H58" s="19" t="n">
        <x:f>IF(AND(C58=1,E58&gt;0),MAX(0,E58-MAX(1,INT(E58*0.15))),E58)</x:f>
        <x:v>0</x:v>
      </x:c>
      <x:c r="I58" s="10" t="str">
        <x:v>可可持盾，相邻队员躲过敌方单体武器攻击后，可可恢复4疲劳。每轮一次、每战最多20；队友越多不增加上限。</x:v>
      </x:c>
      <x:c r="J58" s="10" t="str">
        <x:v>11级：自身每回合额外恢复1疲劳，纳入全Mod额外恢复上限</x:v>
      </x:c>
      <x:c r="K58" s="10" t="str">
        <x:v>重新定义</x:v>
      </x:c>
      <x:c r="L58" s="10" t="str">
        <x:v>可可持盾时，相邻的可行动队员躲过敌方单体武器攻击，可可消除 4 疲劳。每轮最多一次，每战最多消除 20。</x:v>
      </x:c>
      <x:c r="M58" s="10" t="str">
        <x:v>breathe_easy</x:v>
      </x:c>
    </x:row>
    <x:row r="59" ht="90" customHeight="1">
      <x:c r="A59" s="3" t="str">
        <x:v>可可</x:v>
      </x:c>
      <x:c r="B59" s="3" t="str">
        <x:v>自己人</x:v>
      </x:c>
      <x:c r="C59" s="17" t="n">
        <x:v>0</x:v>
      </x:c>
      <x:c r="D59" s="15" t="n">
        <x:v>0</x:v>
      </x:c>
      <x:c r="E59" s="15" t="n">
        <x:v>0</x:v>
      </x:c>
      <x:c r="F59" s="15" t="n">
        <x:v>0</x:v>
      </x:c>
      <x:c r="G59" s="15" t="n">
        <x:v>0</x:v>
      </x:c>
      <x:c r="H59" s="19" t="n">
        <x:f>IF(AND(C59=1,E59&gt;0),MAX(0,E59-MAX(1,INT(E59*0.15))),E59)</x:f>
        <x:v>0</x:v>
      </x:c>
      <x:c r="I59" s="3" t="str">
        <x:v>持盾保护自己人：与至少一名生命不超过一半的可行动队员相邻时，被攻击时近防 +4、决心 +6。现版不提供远程误伤减免。</x:v>
      </x:c>
      <x:c r="J59" s="3" t="str">
        <x:v>11级：自身每回合额外恢复1疲劳，纳入全Mod额外恢复上限</x:v>
      </x:c>
      <x:c r="K59" s="3" t="str">
        <x:v>保留，受全局预算约束</x:v>
      </x:c>
      <x:c r="L59" s="3" t="str">
        <x:v>持盾保护自己人：与至少一名生命不超过一半的可行动队员相邻时，被攻击时近防 +4、决心 +6。现版不提供远程误伤减免。</x:v>
      </x:c>
      <x:c r="M59" s="3" t="str">
        <x:v>own_people</x:v>
      </x:c>
    </x:row>
    <x:row r="60" ht="90" customHeight="1">
      <x:c r="A60" s="10" t="str">
        <x:v>余想</x:v>
      </x:c>
      <x:c r="B60" s="10" t="str">
        <x:v>长轮守门</x:v>
      </x:c>
      <x:c r="C60" s="16" t="n">
        <x:v>1</x:v>
      </x:c>
      <x:c r="D60" s="15" t="n">
        <x:v>3</x:v>
      </x:c>
      <x:c r="E60" s="15" t="n">
        <x:v>16</x:v>
      </x:c>
      <x:c r="F60" s="15" t="n">
        <x:v>3</x:v>
      </x:c>
      <x:c r="G60" s="15" t="n">
        <x:v>0</x:v>
      </x:c>
      <x:c r="H60" s="19" t="n">
        <x:f>IF(AND(C60=1,E60&gt;0),MAX(0,E60-MAX(1,INT(E60*0.15))),E60)</x:f>
        <x:v>14</x:v>
      </x:c>
      <x:c r="I60" s="10" t="str">
        <x:v>至自己下次回合开始，近防/远防+8、先攻-10；期间首次受到敌方直接武器伤害恢复4疲劳。无相邻敌人时也可用，不产生额外回合。</x:v>
      </x:c>
      <x:c r="J60" s="10" t="str">
        <x:v>11级：疲劳成本减少15%，向下取整减免，至少减1；AP/冷却/每战次数不变</x:v>
      </x:c>
      <x:c r="K60" s="10" t="str">
        <x:v>重新定义</x:v>
      </x:c>
      <x:c r="L60" s="10" t="str">
        <x:v>至自己下次回合开始，近防与远防各 +8、先攻 -10；期间每轮首次受到敌方直接武器伤害后恢复 4 疲劳。</x:v>
      </x:c>
      <x:c r="M60" s="10" t="str">
        <x:v>long_watch</x:v>
      </x:c>
    </x:row>
    <x:row r="61" ht="90" customHeight="1">
      <x:c r="A61" s="3" t="str">
        <x:v>余想</x:v>
      </x:c>
      <x:c r="B61" s="3" t="str">
        <x:v>五老压阵</x:v>
      </x:c>
      <x:c r="C61" s="17" t="n">
        <x:v>0</x:v>
      </x:c>
      <x:c r="D61" s="15" t="n">
        <x:v>0</x:v>
      </x:c>
      <x:c r="E61" s="15" t="n">
        <x:v>0</x:v>
      </x:c>
      <x:c r="F61" s="15" t="n">
        <x:v>0</x:v>
      </x:c>
      <x:c r="G61" s="15" t="n">
        <x:v>0</x:v>
      </x:c>
      <x:c r="H61" s="19" t="n">
        <x:f>IF(AND(C61=1,E61&gt;0),MAX(0,E61-MAX(1,INT(E61*0.15))),E61)</x:f>
        <x:v>0</x:v>
      </x:c>
      <x:c r="I61" s="3" t="str">
        <x:v>与至少两名可行动队员相邻时，被攻击时近防 +4，决心 +6。</x:v>
      </x:c>
      <x:c r="J61" s="3" t="str">
        <x:v>11级：自身每回合额外恢复1疲劳，纳入全Mod额外恢复上限</x:v>
      </x:c>
      <x:c r="K61" s="3" t="str">
        <x:v>保留，受全局预算约束</x:v>
      </x:c>
      <x:c r="L61" s="3" t="str">
        <x:v>与至少两名可行动队员相邻时，被攻击时近防 +4，决心 +6。</x:v>
      </x:c>
      <x:c r="M61" s="3" t="str">
        <x:v>five_elder</x:v>
      </x:c>
    </x:row>
    <x:row r="62" ht="90" customHeight="1">
      <x:c r="A62" s="10" t="str">
        <x:v>余想</x:v>
      </x:c>
      <x:c r="B62" s="10" t="str">
        <x:v>替班到了</x:v>
      </x:c>
      <x:c r="C62" s="16" t="n">
        <x:v>0</x:v>
      </x:c>
      <x:c r="D62" s="15" t="n">
        <x:v>0</x:v>
      </x:c>
      <x:c r="E62" s="15" t="n">
        <x:v>0</x:v>
      </x:c>
      <x:c r="F62" s="15" t="n">
        <x:v>0</x:v>
      </x:c>
      <x:c r="G62" s="15" t="n">
        <x:v>1</x:v>
      </x:c>
      <x:c r="H62" s="19" t="n">
        <x:f>IF(AND(C62=1,E62&gt;0),MAX(0,E62-MAX(1,INT(E62*0.15))),E62)</x:f>
        <x:v>0</x:v>
      </x:c>
      <x:c r="I62" s="10" t="str">
        <x:v>自己回合开始时若出现一名此前回合开始时不相邻的可行动队员，恢复4疲劳；首轮只记录。每轮一次，每战最多16，重复来回不突破上限。</x:v>
      </x:c>
      <x:c r="J62" s="10" t="str">
        <x:v>11级：自身每回合额外恢复1疲劳，纳入全Mod额外恢复上限</x:v>
      </x:c>
      <x:c r="K62" s="10" t="str">
        <x:v>重新定义</x:v>
      </x:c>
      <x:c r="L62" s="10" t="str">
        <x:v>自己回合开始时，若有一名上次回合开始时不相邻的可行动队员，恢复 5 疲劳。第一回合仅记录，不恢复；每轮一次。</x:v>
      </x:c>
      <x:c r="M62" s="10" t="str">
        <x:v>shift_arrive</x:v>
      </x:c>
    </x:row>
    <x:row r="63" ht="90" customHeight="1">
      <x:c r="A63" s="3" t="str">
        <x:v>童猪</x:v>
      </x:c>
      <x:c r="B63" s="3" t="str">
        <x:v>小熊出击</x:v>
      </x:c>
      <x:c r="C63" s="17" t="n">
        <x:v>1</x:v>
      </x:c>
      <x:c r="D63" s="15" t="n">
        <x:v>3</x:v>
      </x:c>
      <x:c r="E63" s="15" t="n">
        <x:v>12</x:v>
      </x:c>
      <x:c r="F63" s="15" t="n">
        <x:v>2</x:v>
      </x:c>
      <x:c r="G63" s="15" t="n">
        <x:v>3</x:v>
      </x:c>
      <x:c r="H63" s="19" t="n">
        <x:f>IF(AND(C63=1,E63&gt;0),MAX(0,E63-MAX(1,INT(E63*0.15))),E63)</x:f>
        <x:v>11</x:v>
      </x:c>
      <x:c r="I63" s="3" t="str">
        <x:v>3格内人类/绿皮下一次单体武器命中-10，尝试消耗，至第二次目标回合结束到期。每战2次；免疫恐惧者不受影响。</x:v>
      </x:c>
      <x:c r="J63" s="3" t="str">
        <x:v>11级：疲劳成本减少15%，向下取整减免，至少减1；AP/冷却/每战次数不变</x:v>
      </x:c>
      <x:c r="K63" s="3" t="str">
        <x:v>重新定义</x:v>
      </x:c>
      <x:c r="L63" s="3" t="str">
        <x:v>干扰 3 格内人类或绿皮的下一次单体武器命中 -10；尝试后消耗，最多持续至其第二次回合结束。每战最多两次。</x:v>
      </x:c>
      <x:c r="M63" s="3" t="str">
        <x:v>bear_strike</x:v>
      </x:c>
    </x:row>
    <x:row r="64" ht="90" customHeight="1">
      <x:c r="A64" s="10" t="str">
        <x:v>童猪</x:v>
      </x:c>
      <x:c r="B64" s="10" t="str">
        <x:v>先懂规则</x:v>
      </x:c>
      <x:c r="C64" s="16" t="n">
        <x:v>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9" t="n">
        <x:f>IF(AND(C64=1,E64&gt;0),MAX(0,E64-MAX(1,INT(E64*0.15))),E64)</x:f>
        <x:v>0</x:v>
      </x:c>
      <x:c r="I64" s="10" t="str">
        <x:v>4 格内可见敌人连续两次使用同一武器技能时，获得一层看懂，每层使自身近战命中 +3；最多两层，每轮最多一层，战后清零。</x:v>
      </x:c>
      <x:c r="J64" s="10" t="str">
        <x:v>11级：自身每回合额外恢复1疲劳，纳入全Mod额外恢复上限</x:v>
      </x:c>
      <x:c r="K64" s="10" t="str">
        <x:v>保留，受全局预算约束</x:v>
      </x:c>
      <x:c r="L64" s="10" t="str">
        <x:v>4 格内可见敌人连续两次使用同一武器技能时，获得一层看懂，每层使自身近战命中 +3；最多两层，每轮最多一层，战后清零。</x:v>
      </x:c>
      <x:c r="M64" s="10" t="str">
        <x:v>know_rules</x:v>
      </x:c>
    </x:row>
    <x:row r="65" ht="90" customHeight="1">
      <x:c r="A65" s="3" t="str">
        <x:v>童猪</x:v>
      </x:c>
      <x:c r="B65" s="3" t="str">
        <x:v>敲杯为号</x:v>
      </x:c>
      <x:c r="C65" s="17" t="n">
        <x:v>1</x:v>
      </x:c>
      <x:c r="D65" s="15" t="n">
        <x:v>4</x:v>
      </x:c>
      <x:c r="E65" s="15" t="n">
        <x:v>18</x:v>
      </x:c>
      <x:c r="F65" s="15" t="n">
        <x:v>3</x:v>
      </x:c>
      <x:c r="G65" s="15" t="n">
        <x:v>2</x:v>
      </x:c>
      <x:c r="H65" s="19" t="n">
        <x:f>IF(AND(C65=1,E65&gt;0),MAX(0,E65-MAX(1,INT(E65*0.15))),E65)</x:f>
        <x:v>16</x:v>
      </x:c>
      <x:c r="I65" s="3" t="str">
        <x:v>选择2格内最多3名己方队员（含自己），各下一次单体武器少耗4疲劳，两次目标回合结束后到期；最低仍耗原消耗50%向上取整，同类优惠取高。</x:v>
      </x:c>
      <x:c r="J65" s="3" t="str">
        <x:v>11级：疲劳成本减少15%，向下取整减免，至少减1；AP/冷却/每战次数不变</x:v>
      </x:c>
      <x:c r="K65" s="3" t="str">
        <x:v>重新定义</x:v>
      </x:c>
      <x:c r="L65" s="3" t="str">
        <x:v>给自己与 3 格内队员下一次单体武器技能减免 4 疲劳，最低 0。两次回合结束后过期；优惠取最高。</x:v>
      </x:c>
      <x:c r="M65" s="3" t="str">
        <x:v>cup_signal</x:v>
      </x:c>
    </x:row>
    <x:row r="66" ht="90" customHeight="1">
      <x:c r="A66" s="10" t="str">
        <x:v>美伢</x:v>
      </x:c>
      <x:c r="B66" s="10" t="str">
        <x:v>大王舞</x:v>
      </x:c>
      <x:c r="C66" s="16" t="n">
        <x:v>1</x:v>
      </x:c>
      <x:c r="D66" s="15" t="n">
        <x:v>3</x:v>
      </x:c>
      <x:c r="E66" s="15" t="n">
        <x:v>20</x:v>
      </x:c>
      <x:c r="F66" s="15" t="n">
        <x:v>2</x:v>
      </x:c>
      <x:c r="G66" s="15" t="n">
        <x:v>1</x:v>
      </x:c>
      <x:c r="H66" s="19" t="n">
        <x:f>IF(AND(C66=1,E66&gt;0),MAX(0,E66-MAX(1,INT(E66*0.15))),E66)</x:f>
        <x:v>17</x:v>
      </x:c>
      <x:c r="I66" s="10" t="str">
        <x:v>移到相邻同高可通行空格，免脱离攻击；落点最多两名相邻队员先攻+10至各自下次回合结束。定身不能用，每战2次。</x:v>
      </x:c>
      <x:c r="J66" s="10" t="str">
        <x:v>11级：疲劳成本减少15%，向下取整减免，至少减1；AP/冷却/每战次数不变</x:v>
      </x:c>
      <x:c r="K66" s="10" t="str">
        <x:v>重新定义</x:v>
      </x:c>
      <x:c r="L66" s="10" t="str">
        <x:v>安全移动至相邻同高空地，免脱离攻击；落点相邻队员先攻 +12，至各自下次回合结束。当前版本为一步舞位。</x:v>
      </x:c>
      <x:c r="M66" s="10" t="str">
        <x:v>king_dance</x:v>
      </x:c>
    </x:row>
    <x:row r="67" ht="90" customHeight="1">
      <x:c r="A67" s="3" t="str">
        <x:v>美伢</x:v>
      </x:c>
      <x:c r="B67" s="3" t="str">
        <x:v>看懂节拍</x:v>
      </x:c>
      <x:c r="C67" s="17" t="n">
        <x:v>0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9" t="n">
        <x:f>IF(AND(C67=1,E67&gt;0),MAX(0,E67-MAX(1,INT(E67*0.15))),E67)</x:f>
        <x:v>0</x:v>
      </x:c>
      <x:c r="I67" s="3" t="str">
        <x:v>相邻队员单体近战落空时记住敌人；本轮下一次攻击该敌人近战命中 +6，每轮一次。</x:v>
      </x:c>
      <x:c r="J67" s="3" t="str">
        <x:v>11级：自身每回合额外恢复1疲劳，纳入全Mod额外恢复上限</x:v>
      </x:c>
      <x:c r="K67" s="3" t="str">
        <x:v>保留，受全局预算约束</x:v>
      </x:c>
      <x:c r="L67" s="3" t="str">
        <x:v>相邻队员单体近战落空时记住敌人；本轮下一次攻击该敌人近战命中 +6，每轮一次。</x:v>
      </x:c>
      <x:c r="M67" s="3" t="str">
        <x:v>read_beat</x:v>
      </x:c>
    </x:row>
    <x:row r="68" ht="90" customHeight="1">
      <x:c r="A68" s="10" t="str">
        <x:v>美伢</x:v>
      </x:c>
      <x:c r="B68" s="10" t="str">
        <x:v>谢幕让位</x:v>
      </x:c>
      <x:c r="C68" s="16" t="n">
        <x:v>1</x:v>
      </x:c>
      <x:c r="D68" s="15" t="n">
        <x:v>3</x:v>
      </x:c>
      <x:c r="E68" s="15" t="n">
        <x:v>16</x:v>
      </x:c>
      <x:c r="F68" s="15" t="n">
        <x:v>2</x:v>
      </x:c>
      <x:c r="G68" s="15" t="n">
        <x:v>1</x:v>
      </x:c>
      <x:c r="H68" s="19" t="n">
        <x:f>IF(AND(C68=1,E68&gt;0),MAX(0,E68-MAX(1,INT(E68*0.15))),E68)</x:f>
        <x:v>14</x:v>
      </x:c>
      <x:c r="I68" s="10" t="str">
        <x:v>本次行动已用单体近战命中过敌人后，撤至相邻同高空格，免脱离攻击。定身不能用，每战2次，不能返还AP或触发再攻击。</x:v>
      </x:c>
      <x:c r="J68" s="10" t="str">
        <x:v>11级：疲劳成本减少15%，向下取整减免，至少减1；AP/冷却/每战次数不变</x:v>
      </x:c>
      <x:c r="K68" s="10" t="str">
        <x:v>重新定义</x:v>
      </x:c>
      <x:c r="L68" s="10" t="str">
        <x:v>本次行动已单体近战命中过敌人后，可安全撤至相邻同高空地，免脱离攻击。每轮一次，定身时不可用。</x:v>
      </x:c>
      <x:c r="M68" s="10" t="str">
        <x:v>curtain_yield</x:v>
      </x:c>
    </x:row>
    <x:row r="69" ht="90" customHeight="1">
      <x:c r="A69" s="3" t="str">
        <x:v>玩蛇</x:v>
      </x:c>
      <x:c r="B69" s="3" t="str">
        <x:v>蛇形试招</x:v>
      </x:c>
      <x:c r="C69" s="17" t="n">
        <x:v>1</x:v>
      </x:c>
      <x:c r="D69" s="15" t="n">
        <x:v>4</x:v>
      </x:c>
      <x:c r="E69" s="15" t="n">
        <x:v>14</x:v>
      </x:c>
      <x:c r="F69" s="15" t="n">
        <x:v>1</x:v>
      </x:c>
      <x:c r="G69" s="15" t="n">
        <x:v>1</x:v>
      </x:c>
      <x:c r="H69" s="19" t="n">
        <x:f>IF(AND(C69=1,E69&gt;0),MAX(0,E69-MAX(1,INT(E69*0.15))),E69)</x:f>
        <x:v>12</x:v>
      </x:c>
      <x:c r="I69" s="3" t="str">
        <x:v>单手近战普通单体招式，生命/护甲伤害×0.80；命中后目标近攻-6至其下次回合结束。每轮一次，不能加额外普攻，免疫限制沿用普通属性减益规则。</x:v>
      </x:c>
      <x:c r="J69" s="3" t="str">
        <x:v>11级：疲劳成本减少15%，向下取整减免，至少减1；AP/冷却/每战次数不变</x:v>
      </x:c>
      <x:c r="K69" s="3" t="str">
        <x:v>重新定义</x:v>
      </x:c>
      <x:c r="L69" s="3" t="str">
        <x:v>单手近战武器试招：生命与护甲伤害均为普通招式的 80%；命中后使敌人近攻 -6 至其下次回合结束。每轮一次。</x:v>
      </x:c>
      <x:c r="M69" s="3" t="str">
        <x:v>snake_trial</x:v>
      </x:c>
    </x:row>
    <x:row r="70" ht="90" customHeight="1">
      <x:c r="A70" s="10" t="str">
        <x:v>玩蛇</x:v>
      </x:c>
      <x:c r="B70" s="10" t="str">
        <x:v>秦国的神</x:v>
      </x:c>
      <x:c r="C70" s="16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9" t="n">
        <x:f>IF(AND(C70=1,E70&gt;0),MAX(0,E70-MAX(1,INT(E70*0.15))),E70)</x:f>
        <x:v>0</x:v>
      </x:c>
      <x:c r="I70" s="10" t="str">
        <x:v>每轮首次受到敌方单体近战攻击后记住攻击者；对它的下一次单体近战命中 +6，至自己下次回合结束失效。</x:v>
      </x:c>
      <x:c r="J70" s="10" t="str">
        <x:v>11级：自身每回合额外恢复1疲劳，纳入全Mod额外恢复上限</x:v>
      </x:c>
      <x:c r="K70" s="10" t="str">
        <x:v>保留，受全局预算约束</x:v>
      </x:c>
      <x:c r="L70" s="10" t="str">
        <x:v>每轮首次受到敌方单体近战攻击后记住攻击者；对它的下一次单体近战命中 +6，至自己下次回合结束失效。</x:v>
      </x:c>
      <x:c r="M70" s="10" t="str">
        <x:v>snake_read</x:v>
      </x:c>
    </x:row>
    <x:row r="71" ht="90" customHeight="1">
      <x:c r="A71" s="3" t="str">
        <x:v>玩蛇</x:v>
      </x:c>
      <x:c r="B71" s="3" t="str">
        <x:v>下一招换个路</x:v>
      </x:c>
      <x:c r="C71" s="17" t="n">
        <x:v>0</x:v>
      </x:c>
      <x:c r="D71" s="15" t="n">
        <x:v>0</x:v>
      </x:c>
      <x:c r="E71" s="15" t="n">
        <x:v>0</x:v>
      </x:c>
      <x:c r="F71" s="15" t="n">
        <x:v>0</x:v>
      </x:c>
      <x:c r="G71" s="15" t="n">
        <x:v>0</x:v>
      </x:c>
      <x:c r="H71" s="19" t="n">
        <x:f>IF(AND(C71=1,E71&gt;0),MAX(0,E71-MAX(1,INT(E71*0.15))),E71)</x:f>
        <x:v>0</x:v>
      </x:c>
      <x:c r="I71" s="3" t="str">
        <x:v>每轮一次，普通单体近战命中后，为本次行动内下一次普通单体近战减免 4 疲劳；命中或落空都消耗优惠，不赠送攻击。</x:v>
      </x:c>
      <x:c r="J71" s="3" t="str">
        <x:v>11级：自身每回合额外恢复1疲劳，纳入全Mod额外恢复上限</x:v>
      </x:c>
      <x:c r="K71" s="3" t="str">
        <x:v>保留，受全局预算约束</x:v>
      </x:c>
      <x:c r="L71" s="3" t="str">
        <x:v>每轮一次，普通单体近战命中后，为本次行动内下一次普通单体近战减免 4 疲劳；命中或落空都消耗优惠，不赠送攻击。</x:v>
      </x:c>
      <x:c r="M71" s="3" t="str">
        <x:v>next_path</x:v>
      </x:c>
    </x:row>
    <x:row r="72" ht="90" customHeight="1">
      <x:c r="A72" s="10" t="str">
        <x:v>涂涂</x:v>
      </x:c>
      <x:c r="B72" s="10" t="str">
        <x:v>回头路</x:v>
      </x:c>
      <x:c r="C72" s="16" t="n">
        <x:v>1</x:v>
      </x:c>
      <x:c r="D72" s="15" t="n">
        <x:v>3</x:v>
      </x:c>
      <x:c r="E72" s="15" t="n">
        <x:v>20</x:v>
      </x:c>
      <x:c r="F72" s="15" t="n">
        <x:v>3</x:v>
      </x:c>
      <x:c r="G72" s="15" t="n">
        <x:v>1</x:v>
      </x:c>
      <x:c r="H72" s="19" t="n">
        <x:f>IF(AND(C72=1,E72&gt;0),MAX(0,E72-MAX(1,INT(E72*0.15))),E72)</x:f>
        <x:v>17</x:v>
      </x:c>
      <x:c r="I72" s="10" t="str">
        <x:v>与相邻同高且可行动队员交换位置，免脱离攻击；双方不能网缚/眩晕/不可移动/换位免疫。每战2次，不在空地留下增益。</x:v>
      </x:c>
      <x:c r="J72" s="10" t="str">
        <x:v>11级：疲劳成本减少15%，向下取整减免，至少减1；AP/冷却/每战次数不变</x:v>
      </x:c>
      <x:c r="K72" s="10" t="str">
        <x:v>重新定义</x:v>
      </x:c>
      <x:c r="L72" s="10" t="str">
        <x:v>与相邻同高且可行动的队员安全换位，免脱离攻击；双方不得定身。当前版本采用原版换位，不同时平移两人。</x:v>
      </x:c>
      <x:c r="M72" s="10" t="str">
        <x:v>return_road</x:v>
      </x:c>
    </x:row>
    <x:row r="73" ht="90" customHeight="1">
      <x:c r="A73" s="3" t="str">
        <x:v>涂涂</x:v>
      </x:c>
      <x:c r="B73" s="3" t="str">
        <x:v>离席未散</x:v>
      </x:c>
      <x:c r="C73" s="17" t="n">
        <x:v>0</x:v>
      </x:c>
      <x:c r="D73" s="15" t="n">
        <x:v>0</x:v>
      </x:c>
      <x:c r="E73" s="15" t="n">
        <x:v>0</x:v>
      </x:c>
      <x:c r="F73" s="15" t="n">
        <x:v>0</x:v>
      </x:c>
      <x:c r="G73" s="15" t="n">
        <x:v>0</x:v>
      </x:c>
      <x:c r="H73" s="19" t="n">
        <x:f>IF(AND(C73=1,E73&gt;0),MAX(0,E73-MAX(1,INT(E73*0.15))),E73)</x:f>
        <x:v>0</x:v>
      </x:c>
      <x:c r="I73" s="3" t="str">
        <x:v>相邻可行动队员生命不超过一半时，决心 +10、被攻击时近防 +5。现版以掩护伤员体现断后，不监听撤退。</x:v>
      </x:c>
      <x:c r="J73" s="3" t="str">
        <x:v>11级：自身每回合额外恢复1疲劳，纳入全Mod额外恢复上限</x:v>
      </x:c>
      <x:c r="K73" s="3" t="str">
        <x:v>保留，受全局预算约束</x:v>
      </x:c>
      <x:c r="L73" s="3" t="str">
        <x:v>相邻可行动队员生命不超过一半时，决心 +10、被攻击时近防 +5。现版以掩护伤员体现断后，不监听撤退。</x:v>
      </x:c>
      <x:c r="M73" s="3" t="str">
        <x:v>leave_not_gone</x:v>
      </x:c>
    </x:row>
    <x:row r="74" ht="90" customHeight="1">
      <x:c r="A74" s="10" t="str">
        <x:v>涂涂</x:v>
      </x:c>
      <x:c r="B74" s="10" t="str">
        <x:v>再留一晚</x:v>
      </x:c>
      <x:c r="C74" s="16" t="n">
        <x:v>0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9" t="n">
        <x:f>IF(AND(C74=1,E74&gt;0),MAX(0,E74-MAX(1,INT(E74*0.15))),E74)</x:f>
        <x:v>0</x:v>
      </x:c>
      <x:c r="I74" s="10" t="str">
        <x:v>仅普通移动或等待且无相邻敌人，回合结束恢复8疲劳，每轮一次。无额外宿营免工资或免费世界地图恢复。</x:v>
      </x:c>
      <x:c r="J74" s="10" t="str">
        <x:v>11级：自身每回合额外恢复1疲劳，纳入全Mod额外恢复上限</x:v>
      </x:c>
      <x:c r="K74" s="10" t="str">
        <x:v>重新定义</x:v>
      </x:c>
      <x:c r="L74" s="10" t="str">
        <x:v>自己回合结束时，若本次行动只移动或等待且没有相邻敌人，恢复 6 疲劳，每轮一次。旧磨合／闹别扭系统不再使用。</x:v>
      </x:c>
      <x:c r="M74" s="10" t="str">
        <x:v>one_more_night</x:v>
      </x:c>
    </x:row>
    <x:row r="75" ht="90" customHeight="1">
      <x:c r="A75" s="3" t="str">
        <x:v>奶盖</x:v>
      </x:c>
      <x:c r="B75" s="3" t="str">
        <x:v>嘴强王者</x:v>
      </x:c>
      <x:c r="C75" s="17" t="n">
        <x:v>1</x:v>
      </x:c>
      <x:c r="D75" s="15" t="n">
        <x:v>4</x:v>
      </x:c>
      <x:c r="E75" s="15" t="n">
        <x:v>15</x:v>
      </x:c>
      <x:c r="F75" s="15" t="n">
        <x:v>2</x:v>
      </x:c>
      <x:c r="G75" s="15" t="n">
        <x:v>1</x:v>
      </x:c>
      <x:c r="H75" s="19" t="n">
        <x:f>IF(AND(C75=1,E75&gt;0),MAX(0,E75-MAX(1,INT(E75*0.15))),E75)</x:f>
        <x:v>13</x:v>
      </x:c>
      <x:c r="I75" s="3" t="str">
        <x:v>嘲讽相邻且可合法近战攻击自己的普通人类，使用原版嘲讽AI优先级；每战2次。恐惧免疫者无效，不强制移动，不保证对方一定攻击。</x:v>
      </x:c>
      <x:c r="J75" s="3" t="str">
        <x:v>11级：疲劳成本减少15%，向下取整减免，至少减1；AP/冷却/每战次数不变</x:v>
      </x:c>
      <x:c r="K75" s="3" t="str">
        <x:v>重新定义</x:v>
      </x:c>
      <x:c r="L75" s="3" t="str">
        <x:v>挑衅相邻且能用近战攻击自己的普通人类，采用原版嘲讽，使其按自身战术优先攻击奶盖。恐惧免疫者无效，不强制移动。</x:v>
      </x:c>
      <x:c r="M75" s="3" t="str">
        <x:v>mouth_strong</x:v>
      </x:c>
    </x:row>
    <x:row r="76" ht="90" customHeight="1">
      <x:c r="A76" s="10" t="str">
        <x:v>奶盖</x:v>
      </x:c>
      <x:c r="B76" s="10" t="str">
        <x:v>缩进奶盖</x:v>
      </x:c>
      <x:c r="C76" s="16" t="n">
        <x:v>1</x:v>
      </x:c>
      <x:c r="D76" s="15" t="n">
        <x:v>4</x:v>
      </x:c>
      <x:c r="E76" s="15" t="n">
        <x:v>20</x:v>
      </x:c>
      <x:c r="F76" s="15" t="n">
        <x:v>2</x:v>
      </x:c>
      <x:c r="G76" s="15" t="n">
        <x:v>0</x:v>
      </x:c>
      <x:c r="H76" s="19" t="n">
        <x:f>IF(AND(C76=1,E76&gt;0),MAX(0,E76-MAX(1,INT(E76*0.15))),E76)</x:f>
        <x:v>17</x:v>
      </x:c>
      <x:c r="I76" s="10" t="str">
        <x:v>持盾，近防+8，直接武器生命伤害×0.80至自己下次回合开始；禁止主动移动/武器技能。失盾/被移动/无法行动即结束，持续伤害照常。</x:v>
      </x:c>
      <x:c r="J76" s="10" t="str">
        <x:v>11级：疲劳成本减少15%，向下取整减免，至少减1；AP/冷却/每战次数不变</x:v>
      </x:c>
      <x:c r="K76" s="10" t="str">
        <x:v>重新定义</x:v>
      </x:c>
      <x:c r="L76" s="10" t="str">
        <x:v>持盾缩进防线，近防 +8，承受直接武器的生命伤害减少 20%，至自己下次回合开始；不能主动移动或使用武器技能。失盾、被移动或无法行动会解除。</x:v>
      </x:c>
      <x:c r="M76" s="10" t="str">
        <x:v>shrink_cover</x:v>
      </x:c>
    </x:row>
    <x:row r="77" ht="90" customHeight="1">
      <x:c r="A77" s="3" t="str">
        <x:v>奶盖</x:v>
      </x:c>
      <x:c r="B77" s="3" t="str">
        <x:v>抽象整活</x:v>
      </x:c>
      <x:c r="C77" s="17" t="n">
        <x:v>0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9" t="n">
        <x:f>IF(AND(C77=1,E77&gt;0),MAX(0,E77-MAX(1,INT(E77*0.15))),E77)</x:f>
        <x:v>0</x:v>
      </x:c>
      <x:c r="I77" s="3" t="str">
        <x:v>每轮首次躲过敌方单体武器攻击，记一层返场；下一次投掷命中+8，尝试消耗，最迟下轮结束到期。不要求同时拥有缩进奶盖，三选一不会形成不可达联动。</x:v>
      </x:c>
      <x:c r="J77" s="3" t="str">
        <x:v>11级：自身每回合额外恢复1疲劳，纳入全Mod额外恢复上限</x:v>
      </x:c>
      <x:c r="K77" s="3" t="str">
        <x:v>重新定义</x:v>
      </x:c>
      <x:c r="L77" s="3" t="str">
        <x:v>每轮首次被敌方单体武器攻击落空，或缩进奶盖期间受直接武器伤害后存活，获得一层返场；下一次投掷命中 +10，最迟下轮结束失效。</x:v>
      </x:c>
      <x:c r="M77" s="3" t="str">
        <x:v>abs_comeback</x:v>
      </x:c>
    </x:row>
    <x:row r="78" ht="90" customHeight="1">
      <x:c r="A78" s="10" t="str">
        <x:v>小杰</x:v>
      </x:c>
      <x:c r="B78" s="10" t="str">
        <x:v>备用钥匙</x:v>
      </x:c>
      <x:c r="C78" s="16" t="n">
        <x:v>1</x:v>
      </x:c>
      <x:c r="D78" s="15" t="n">
        <x:v>4</x:v>
      </x:c>
      <x:c r="E78" s="15" t="n">
        <x:v>14</x:v>
      </x:c>
      <x:c r="F78" s="15" t="n">
        <x:v>2</x:v>
      </x:c>
      <x:c r="G78" s="15" t="n">
        <x:v>1</x:v>
      </x:c>
      <x:c r="H78" s="19" t="n">
        <x:f>IF(AND(C78=1,E78&gt;0),MAX(0,E78-MAX(1,INT(E78*0.15))),E78)</x:f>
        <x:v>12</x:v>
      </x:c>
      <x:c r="I78" s="10" t="str">
        <x:v>解除自己或相邻队员的一项普通网/加固网，每战2次；不能解除藤蔓、抓取、眩晕、伤势。必须先存在合法网，失败不收费。</x:v>
      </x:c>
      <x:c r="J78" s="10" t="str">
        <x:v>11级：疲劳成本减少15%，向下取整减免，至少减1；AP/冷却/每战次数不变</x:v>
      </x:c>
      <x:c r="K78" s="10" t="str">
        <x:v>重新定义</x:v>
      </x:c>
      <x:c r="L78" s="10" t="str">
        <x:v>解除自己或相邻队员的一项普通网或加固网；无网不可使用。不解除眩晕、抓取、藤蔓和伤势。</x:v>
      </x:c>
      <x:c r="M78" s="10" t="str">
        <x:v>spare_key</x:v>
      </x:c>
    </x:row>
    <x:row r="79" ht="90" customHeight="1">
      <x:c r="A79" s="3" t="str">
        <x:v>小杰</x:v>
      </x:c>
      <x:c r="B79" s="3" t="str">
        <x:v>不上这个当</x:v>
      </x:c>
      <x:c r="C79" s="17" t="n">
        <x:v>0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9" t="n">
        <x:f>IF(AND(C79=1,E79&gt;0),MAX(0,E79-MAX(1,INT(E79*0.15))),E79)</x:f>
        <x:v>0</x:v>
      </x:c>
      <x:c r="I79" s="3" t="str">
        <x:v>面对带恐惧／魅惑标签的士气检定，额外决心 +15；常规受伤、包围和同伴阵亡检定不加成。</x:v>
      </x:c>
      <x:c r="J79" s="3" t="str">
        <x:v>11级：自身每回合额外恢复1疲劳，纳入全Mod额外恢复上限</x:v>
      </x:c>
      <x:c r="K79" s="3" t="str">
        <x:v>保留，受全局预算约束</x:v>
      </x:c>
      <x:c r="L79" s="3" t="str">
        <x:v>面对带恐惧／魅惑标签的士气检定，额外决心 +15；常规受伤、包围和同伴阵亡检定不加成。</x:v>
      </x:c>
      <x:c r="M79" s="3" t="str">
        <x:v>not_fooled</x:v>
      </x:c>
    </x:row>
    <x:row r="80" ht="90" customHeight="1">
      <x:c r="A80" s="10" t="str">
        <x:v>小杰</x:v>
      </x:c>
      <x:c r="B80" s="10" t="str">
        <x:v>锁车</x:v>
      </x:c>
      <x:c r="C80" s="16" t="n">
        <x:v>1</x:v>
      </x:c>
      <x:c r="D80" s="15" t="n">
        <x:v>4</x:v>
      </x:c>
      <x:c r="E80" s="15" t="n">
        <x:v>18</x:v>
      </x:c>
      <x:c r="F80" s="15" t="n">
        <x:v>3</x:v>
      </x:c>
      <x:c r="G80" s="15" t="n">
        <x:v>1</x:v>
      </x:c>
      <x:c r="H80" s="19" t="n">
        <x:f>IF(AND(C80=1,E80&gt;0),MAX(0,E80-MAX(1,INT(E80*0.15))),E80)</x:f>
        <x:v>16</x:v>
      </x:c>
      <x:c r="I80" s="10" t="str">
        <x:v>消耗2工具，命中检定为自身近攻+10对近防，成功使相邻可束缚人形敌人不能移动至目标下次回合结束；仍可攻击/施法。每战2次，无隐藏地雷，不影响束缚免疫者。</x:v>
      </x:c>
      <x:c r="J80" s="10" t="str">
        <x:v>11级：疲劳成本减少15%，向下取整减免，至少减1；AP/冷却/每战次数不变</x:v>
      </x:c>
      <x:c r="K80" s="10" t="str">
        <x:v>重新定义</x:v>
      </x:c>
      <x:c r="L80" s="10" t="str">
        <x:v>消耗 2 工具，对相邻可束缚人形敌人施加绳扣，使其不能移动至下次回合结束，仍可攻击。每战两次；本版直接施放，不在空地埋隐藏陷阱。</x:v>
      </x:c>
      <x:c r="M80" s="10" t="str">
        <x:v>lock_wagon</x:v>
      </x:c>
    </x:row>
    <x:row r="81" ht="90" customHeight="1">
      <x:c r="A81" s="3" t="str">
        <x:v>bula</x:v>
      </x:c>
      <x:c r="B81" s="3" t="str">
        <x:v>提前分好</x:v>
      </x:c>
      <x:c r="C81" s="17" t="n">
        <x:v>1</x:v>
      </x:c>
      <x:c r="D81" s="15" t="n">
        <x:v>3</x:v>
      </x:c>
      <x:c r="E81" s="15" t="n">
        <x:v>10</x:v>
      </x:c>
      <x:c r="F81" s="15" t="n">
        <x:v>2</x:v>
      </x:c>
      <x:c r="G81" s="15" t="n">
        <x:v>3</x:v>
      </x:c>
      <x:c r="H81" s="19" t="n">
        <x:f>IF(AND(C81=1,E81&gt;0),MAX(0,E81-MAX(1,INT(E81*0.15))),E81)</x:f>
        <x:v>9</x:v>
      </x:c>
      <x:c r="I81" s="3" t="str">
        <x:v>指定自己或3格内一名队员，下一次投掷少耗6疲劳，两次目标回合结束后到期；最低消耗原值50%向上取整。每战3次，不赠送弹药。</x:v>
      </x:c>
      <x:c r="J81" s="3" t="str">
        <x:v>11级：疲劳成本减少15%，向下取整减免，至少减1；AP/冷却/每战次数不变</x:v>
      </x:c>
      <x:c r="K81" s="3" t="str">
        <x:v>重新定义</x:v>
      </x:c>
      <x:c r="L81" s="3" t="str">
        <x:v>给 3 格内自己或一名队员的下一次投掷武器技能减免 5 疲劳，最低 0，两次回合结束后失效。每战一次，不赠弹药。</x:v>
      </x:c>
      <x:c r="M81" s="3" t="str">
        <x:v>budget_share</x:v>
      </x:c>
    </x:row>
    <x:row r="82" ht="90" customHeight="1">
      <x:c r="A82" s="10" t="str">
        <x:v>bula</x:v>
      </x:c>
      <x:c r="B82" s="10" t="str">
        <x:v>钱袋算清</x:v>
      </x:c>
      <x:c r="C82" s="16" t="n">
        <x:v>0</x:v>
      </x:c>
      <x:c r="D82" s="15" t="n">
        <x:v>0</x:v>
      </x:c>
      <x:c r="E82" s="15" t="n">
        <x:v>0</x:v>
      </x:c>
      <x:c r="F82" s="15" t="n">
        <x:v>0</x:v>
      </x:c>
      <x:c r="G82" s="15" t="n">
        <x:v>0</x:v>
      </x:c>
      <x:c r="H82" s="19" t="n">
        <x:f>IF(AND(C82=1,E82&gt;0),MAX(0,E82-MAX(1,INT(E82*0.15))),E82)</x:f>
        <x:v>0</x:v>
      </x:c>
      <x:c r="I82" s="10" t="str">
        <x:v>本人在册存活，每日首次成功购买工具/药品/弹药优惠5%，最多30克朗；不加出售价格，不影响招募，不与同类购买优惠连乘。</x:v>
      </x:c>
      <x:c r="J82" s="10" t="str">
        <x:v>11级：自身每回合额外恢复1疲劳，纳入全Mod额外恢复上限</x:v>
      </x:c>
      <x:c r="K82" s="10" t="str">
        <x:v>重新定义</x:v>
      </x:c>
      <x:c r="L82" s="10" t="str">
        <x:v>bula 在队时，每日首次从城镇商店购买工具、药品或弹药享受 5% 折扣，最多省 30 克朗。只在成功购买时消耗，不影响出售和招募。</x:v>
      </x:c>
      <x:c r="M82" s="10" t="str">
        <x:v>purse_clear</x:v>
      </x:c>
    </x:row>
    <x:row r="83" ht="90" customHeight="1">
      <x:c r="A83" s="3" t="str">
        <x:v>bula</x:v>
      </x:c>
      <x:c r="B83" s="3" t="str">
        <x:v>别把最后一支乱扔</x:v>
      </x:c>
      <x:c r="C83" s="17" t="n">
        <x:v>0</x:v>
      </x:c>
      <x:c r="D83" s="15" t="n">
        <x:v>0</x:v>
      </x:c>
      <x:c r="E83" s="15" t="n">
        <x:v>0</x:v>
      </x:c>
      <x:c r="F83" s="15" t="n">
        <x:v>0</x:v>
      </x:c>
      <x:c r="G83" s="15" t="n">
        <x:v>0</x:v>
      </x:c>
      <x:c r="H83" s="19" t="n">
        <x:f>IF(AND(C83=1,E83&gt;0),MAX(0,E83-MAX(1,INT(E83*0.15))),E83)</x:f>
        <x:v>0</x:v>
      </x:c>
      <x:c r="I83" s="3" t="str">
        <x:v>投掷武器剩余≤2发时，普通投掷命中+6，每战最多3次；命中/落空均耗次数和弹药，切包不能重置。</x:v>
      </x:c>
      <x:c r="J83" s="3" t="str">
        <x:v>11级：自身每回合额外恢复1疲劳，纳入全Mod额外恢复上限</x:v>
      </x:c>
      <x:c r="K83" s="3" t="str">
        <x:v>重新定义</x:v>
      </x:c>
      <x:c r="L83" s="3" t="str">
        <x:v>投掷武器只剩最后一发时，普通投掷命中 +6；每战最多两次。弹药仍正常消耗。</x:v>
      </x:c>
      <x:c r="M83" s="3" t="str">
        <x:v>no_last_throw</x:v>
      </x:c>
    </x:row>
    <x:row r="84" ht="90" customHeight="1">
      <x:c r="A84" s="10" t="str">
        <x:v>苏袜</x:v>
      </x:c>
      <x:c r="B84" s="10" t="str">
        <x:v>踩点</x:v>
      </x:c>
      <x:c r="C84" s="16" t="n">
        <x:v>1</x:v>
      </x:c>
      <x:c r="D84" s="15" t="n">
        <x:v>3</x:v>
      </x:c>
      <x:c r="E84" s="15" t="n">
        <x:v>18</x:v>
      </x:c>
      <x:c r="F84" s="15" t="n">
        <x:v>2</x:v>
      </x:c>
      <x:c r="G84" s="15" t="n">
        <x:v>1</x:v>
      </x:c>
      <x:c r="H84" s="19" t="n">
        <x:f>IF(AND(C84=1,E84&gt;0),MAX(0,E84-MAX(1,INT(E84*0.15))),E84)</x:f>
        <x:v>16</x:v>
      </x:c>
      <x:c r="I84" s="10" t="str">
        <x:v>移到相邻同高可通行空格，免脱离攻击，自身先攻+12至下次回合结束；每战2次。定身/不可移动时不能用。</x:v>
      </x:c>
      <x:c r="J84" s="10" t="str">
        <x:v>11级：疲劳成本减少15%，向下取整减免，至少减1；AP/冷却/每战次数不变</x:v>
      </x:c>
      <x:c r="K84" s="10" t="str">
        <x:v>重新定义</x:v>
      </x:c>
      <x:c r="L84" s="10" t="str">
        <x:v>安全移动至相邻同高空地，免脱离攻击；先攻 +15 至自己下次回合结束。当前版本采用一步踩点。</x:v>
      </x:c>
      <x:c r="M84" s="10" t="str">
        <x:v>foot_point</x:v>
      </x:c>
    </x:row>
    <x:row r="85" ht="90" customHeight="1">
      <x:c r="A85" s="3" t="str">
        <x:v>苏袜</x:v>
      </x:c>
      <x:c r="B85" s="3" t="str">
        <x:v>抢半步</x:v>
      </x:c>
      <x:c r="C85" s="17" t="n">
        <x:v>0</x:v>
      </x:c>
      <x:c r="D85" s="15" t="n">
        <x:v>0</x:v>
      </x:c>
      <x:c r="E85" s="15" t="n">
        <x:v>0</x:v>
      </x:c>
      <x:c r="F85" s="15" t="n">
        <x:v>0</x:v>
      </x:c>
      <x:c r="G85" s="15" t="n">
        <x:v>0</x:v>
      </x:c>
      <x:c r="H85" s="19" t="n">
        <x:f>IF(AND(C85=1,E85&gt;0),MAX(0,E85-MAX(1,INT(E85*0.15))),E85)</x:f>
        <x:v>0</x:v>
      </x:c>
      <x:c r="I85" s="3" t="str">
        <x:v>自己当前有效先攻高于目标时单体武器命中+5，每轮首次攻击有效。使用受装备/已积疲劳影响的先攻，相等无加成。</x:v>
      </x:c>
      <x:c r="J85" s="3" t="str">
        <x:v>11级：自身每回合额外恢复1疲劳，纳入全Mod额外恢复上限</x:v>
      </x:c>
      <x:c r="K85" s="3" t="str">
        <x:v>重新定义</x:v>
      </x:c>
      <x:c r="L85" s="3" t="str">
        <x:v>自身当前有效先攻高于目标时，单体武器命中 +5，每轮最多两次；相等不触发。</x:v>
      </x:c>
      <x:c r="M85" s="3" t="str">
        <x:v>half_step</x:v>
      </x:c>
    </x:row>
    <x:row r="86" ht="90" customHeight="1">
      <x:c r="A86" s="10" t="str">
        <x:v>苏袜</x:v>
      </x:c>
      <x:c r="B86" s="10" t="str">
        <x:v>急刹</x:v>
      </x:c>
      <x:c r="C86" s="16" t="n">
        <x:v>1</x:v>
      </x:c>
      <x:c r="D86" s="15" t="n">
        <x:v>3</x:v>
      </x:c>
      <x:c r="E86" s="15" t="n">
        <x:v>14</x:v>
      </x:c>
      <x:c r="F86" s="15" t="n">
        <x:v>2</x:v>
      </x:c>
      <x:c r="G86" s="15" t="n">
        <x:v>0</x:v>
      </x:c>
      <x:c r="H86" s="19" t="n">
        <x:f>IF(AND(C86=1,E86&gt;0),MAX(0,E86-MAX(1,INT(E86*0.15))),E86)</x:f>
        <x:v>12</x:v>
      </x:c>
      <x:c r="I86" s="10" t="str">
        <x:v>远防+12、近防+4至自己下次回合开始；禁止主动移动，仍能攻击，被迫移动即结束。</x:v>
      </x:c>
      <x:c r="J86" s="10" t="str">
        <x:v>11级：疲劳成本减少15%，向下取整减免，至少减1；AP/冷却/每战次数不变</x:v>
      </x:c>
      <x:c r="K86" s="10" t="str">
        <x:v>重新定义</x:v>
      </x:c>
      <x:c r="L86" s="10" t="str">
        <x:v>远防 +12、近防 +4，至自己下次回合开始；期间不能主动移动，仍可攻击。被迫移动会解除。</x:v>
      </x:c>
      <x:c r="M86" s="10" t="str">
        <x:v>hard_brake</x:v>
      </x:c>
    </x:row>
    <x:row r="87" ht="90" customHeight="1">
      <x:c r="A87" s="3" t="str">
        <x:v>千涵</x:v>
      </x:c>
      <x:c r="B87" s="3" t="str">
        <x:v>短坡冲刺</x:v>
      </x:c>
      <x:c r="C87" s="17" t="n">
        <x:v>1</x:v>
      </x:c>
      <x:c r="D87" s="15" t="n">
        <x:v>3</x:v>
      </x:c>
      <x:c r="E87" s="15" t="n">
        <x:v>20</x:v>
      </x:c>
      <x:c r="F87" s="15" t="n">
        <x:v>2</x:v>
      </x:c>
      <x:c r="G87" s="15" t="n">
        <x:v>1</x:v>
      </x:c>
      <x:c r="H87" s="19" t="n">
        <x:f>IF(AND(C87=1,E87&gt;0),MAX(0,E87-MAX(1,INT(E87*0.15))),E87)</x:f>
        <x:v>17</x:v>
      </x:c>
      <x:c r="I87" s="3" t="str">
        <x:v>移到相邻同高可通行空格，免脱离攻击，本次行动下一次单体近战命中+8，尝试耗尽；每战2次。禁止返AP、追加攻击和跨高差。</x:v>
      </x:c>
      <x:c r="J87" s="3" t="str">
        <x:v>11级：疲劳成本减少15%，向下取整减免，至少减1；AP/冷却/每战次数不变</x:v>
      </x:c>
      <x:c r="K87" s="3" t="str">
        <x:v>重新定义</x:v>
      </x:c>
      <x:c r="L87" s="3" t="str">
        <x:v>安全冲至相邻同高空地，免脱离攻击；本次下一次单体近战命中 +8，至当前行动结束失效。当前版本只移动一步。 同次攻击的标记与临时命中加成合计最多 +10；负面命中效果另行扣除。</x:v>
      </x:c>
      <x:c r="M87" s="3" t="str">
        <x:v>short_sprint</x:v>
      </x:c>
    </x:row>
    <x:row r="88" ht="90" customHeight="1">
      <x:c r="A88" s="10" t="str">
        <x:v>千涵</x:v>
      </x:c>
      <x:c r="B88" s="10" t="str">
        <x:v>003号起跑</x:v>
      </x:c>
      <x:c r="C88" s="16" t="n">
        <x:v>0</x:v>
      </x:c>
      <x:c r="D88" s="15" t="n">
        <x:v>0</x:v>
      </x:c>
      <x:c r="E88" s="15" t="n">
        <x:v>0</x:v>
      </x:c>
      <x:c r="F88" s="15" t="n">
        <x:v>0</x:v>
      </x:c>
      <x:c r="G88" s="15" t="n">
        <x:v>0</x:v>
      </x:c>
      <x:c r="H88" s="19" t="n">
        <x:f>IF(AND(C88=1,E88&gt;0),MAX(0,E88-MAX(1,INT(E88*0.15))),E88)</x:f>
        <x:v>0</x:v>
      </x:c>
      <x:c r="I88" s="10" t="str">
        <x:v>每轮首次普通移动完成后恢复2疲劳，前4轮有效，每战最多8；技能位移/换位/推拉不计，不回AP。</x:v>
      </x:c>
      <x:c r="J88" s="10" t="str">
        <x:v>11级：自身每回合额外恢复1疲劳，纳入全Mod额外恢复上限</x:v>
      </x:c>
      <x:c r="K88" s="10" t="str">
        <x:v>重新定义</x:v>
      </x:c>
      <x:c r="L88" s="10" t="str">
        <x:v>本场首次普通移动完成后恢复 2 疲劳；专属位移、换位和推拉不触发。</x:v>
      </x:c>
      <x:c r="M88" s="10" t="str">
        <x:v>start_run</x:v>
      </x:c>
    </x:row>
    <x:row r="89" ht="90" customHeight="1">
      <x:c r="A89" s="3" t="str">
        <x:v>千涵</x:v>
      </x:c>
      <x:c r="B89" s="3" t="str">
        <x:v>分段呼吸</x:v>
      </x:c>
      <x:c r="C89" s="17" t="n">
        <x:v>0</x:v>
      </x:c>
      <x:c r="D89" s="15" t="n">
        <x:v>0</x:v>
      </x:c>
      <x:c r="E89" s="15" t="n">
        <x:v>0</x:v>
      </x:c>
      <x:c r="F89" s="15" t="n">
        <x:v>0</x:v>
      </x:c>
      <x:c r="G89" s="15" t="n">
        <x:v>0</x:v>
      </x:c>
      <x:c r="H89" s="19" t="n">
        <x:f>IF(AND(C89=1,E89&gt;0),MAX(0,E89-MAX(1,INT(E89*0.15))),E89)</x:f>
        <x:v>0</x:v>
      </x:c>
      <x:c r="I89" s="3" t="str">
        <x:v>本次行动仅普通移动或等待且结束时无相邻敌人，恢复8疲劳，每轮一次。归入全Mod每轮8点额外恢复上限。</x:v>
      </x:c>
      <x:c r="J89" s="3" t="str">
        <x:v>11级：自身每回合额外恢复1疲劳，纳入全Mod额外恢复上限</x:v>
      </x:c>
      <x:c r="K89" s="3" t="str">
        <x:v>重新定义</x:v>
      </x:c>
      <x:c r="L89" s="3" t="str">
        <x:v>本次行动只普通移动或等待，结束时没有相邻敌人，则恢复 8 疲劳，每轮一次。</x:v>
      </x:c>
      <x:c r="M89" s="3" t="str">
        <x:v>segment_breath</x:v>
      </x:c>
    </x:row>
    <x:row r="90" ht="90" customHeight="1">
      <x:c r="A90" s="10" t="str">
        <x:v>王大芷</x:v>
      </x:c>
      <x:c r="B90" s="10" t="str">
        <x:v>撑住幕布</x:v>
      </x:c>
      <x:c r="C90" s="16" t="n">
        <x:v>1</x:v>
      </x:c>
      <x:c r="D90" s="15" t="n">
        <x:v>3</x:v>
      </x:c>
      <x:c r="E90" s="15" t="n">
        <x:v>16</x:v>
      </x:c>
      <x:c r="F90" s="15" t="n">
        <x:v>2</x:v>
      </x:c>
      <x:c r="G90" s="15" t="n">
        <x:v>0</x:v>
      </x:c>
      <x:c r="H90" s="19" t="n">
        <x:f>IF(AND(C90=1,E90&gt;0),MAX(0,E90-MAX(1,INT(E90*0.15))),E90)</x:f>
        <x:v>14</x:v>
      </x:c>
      <x:c r="I90" s="10" t="str">
        <x:v>持盾，近防+7，免疫推拉至自己下次回合开始；伤害/网缚/眩晕照常，失盾立即结束。</x:v>
      </x:c>
      <x:c r="J90" s="10" t="str">
        <x:v>11级：疲劳成本减少15%，向下取整减免，至少减1；AP/冷却/每战次数不变</x:v>
      </x:c>
      <x:c r="K90" s="10" t="str">
        <x:v>重新定义</x:v>
      </x:c>
      <x:c r="L90" s="10" t="str">
        <x:v>持盾稳住幕布：近防 +7，免疫推拉位移，至自己下次回合开始。伤害、网缚和眩晕照常。</x:v>
      </x:c>
      <x:c r="M90" s="10" t="str">
        <x:v>hold_curtain</x:v>
      </x:c>
    </x:row>
    <x:row r="91" ht="90" customHeight="1">
      <x:c r="A91" s="3" t="str">
        <x:v>王大芷</x:v>
      </x:c>
      <x:c r="B91" s="3" t="str">
        <x:v>站稳场子</x:v>
      </x:c>
      <x:c r="C91" s="17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1</x:v>
      </x:c>
      <x:c r="H91" s="19" t="n">
        <x:f>IF(AND(C91=1,E91&gt;0),MAX(0,E91-MAX(1,INT(E91*0.15))),E91)</x:f>
        <x:v>0</x:v>
      </x:c>
      <x:c r="I91" s="3" t="str">
        <x:v>自己持盾且本次行动未移动，相邻最多两名其他可行动隊员受攻击时近防+3；同类站位保护取高，不给自己。被移动后到下次回合才重置。</x:v>
      </x:c>
      <x:c r="J91" s="3" t="str">
        <x:v>11级：自身每回合额外恢复1疲劳，纳入全Mod额外恢复上限</x:v>
      </x:c>
      <x:c r="K91" s="3" t="str">
        <x:v>重新定义</x:v>
      </x:c>
      <x:c r="L91" s="3" t="str">
        <x:v>持盾且本次行动未移动时，相邻其他队员被攻击时获得近防 +3；同类站位保护只取最高，不给自己加成。</x:v>
      </x:c>
      <x:c r="M91" s="3" t="str">
        <x:v>hold_ground</x:v>
      </x:c>
    </x:row>
    <x:row r="92" ht="90" customHeight="1">
      <x:c r="A92" s="10" t="str">
        <x:v>王大芷</x:v>
      </x:c>
      <x:c r="B92" s="10" t="str">
        <x:v>门口有我</x:v>
      </x:c>
      <x:c r="C92" s="16" t="n">
        <x:v>0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9" t="n">
        <x:f>IF(AND(C92=1,E92&gt;0),MAX(0,E92-MAX(1,INT(E92*0.15))),E92)</x:f>
        <x:v>0</x:v>
      </x:c>
      <x:c r="I92" s="10" t="str">
        <x:v>对与至少两名己方队员相邻的敌人，单体近战命中 +5，每轮一次。</x:v>
      </x:c>
      <x:c r="J92" s="10" t="str">
        <x:v>11级：自身每回合额外恢复1疲劳，纳入全Mod额外恢复上限</x:v>
      </x:c>
      <x:c r="K92" s="10" t="str">
        <x:v>保留，受全局预算约束</x:v>
      </x:c>
      <x:c r="L92" s="10" t="str">
        <x:v>对与至少两名己方队员相邻的敌人，单体近战命中 +5，每轮一次。</x:v>
      </x:c>
      <x:c r="M92" s="10" t="str">
        <x:v>door_mine</x:v>
      </x:c>
    </x:row>
    <x:row r="93" ht="90" customHeight="1">
      <x:c r="A93" s="3" t="str">
        <x:v>瑶瑶牙</x:v>
      </x:c>
      <x:c r="B93" s="3" t="str">
        <x:v>破口一击</x:v>
      </x:c>
      <x:c r="C93" s="17" t="n">
        <x:v>1</x:v>
      </x:c>
      <x:c r="D93" s="15" t="n">
        <x:v>6</x:v>
      </x:c>
      <x:c r="E93" s="15" t="n">
        <x:v>24</x:v>
      </x:c>
      <x:c r="F93" s="15" t="n">
        <x:v>2</x:v>
      </x:c>
      <x:c r="G93" s="15" t="n">
        <x:v>1</x:v>
      </x:c>
      <x:c r="H93" s="19" t="n">
        <x:f>IF(AND(C93=1,E93&gt;0),MAX(0,E93-MAX(1,INT(E93*0.15))),E93)</x:f>
        <x:v>21</x:v>
      </x:c>
      <x:c r="I93" s="3" t="str">
        <x:v>以当前双手近战武器的普通单体招式攻击，命中-5、护甲伤害×1.20，沿用武器实际射程（长柄允许2格）。不附带击退、不触发握把额外40破甲、不加免费攻击。</x:v>
      </x:c>
      <x:c r="J93" s="3" t="str">
        <x:v>11级：疲劳成本减少15%，向下取整减免，至少减1；AP/冷却/每战次数不变</x:v>
      </x:c>
      <x:c r="K93" s="3" t="str">
        <x:v>重新定义</x:v>
      </x:c>
      <x:c r="L93" s="3" t="str">
        <x:v>以双手近战武器的普通单体招式攻击，命中 -5、护甲伤害 +20%。沿用武器自身射程和特殊伤害。当前版本不附带击退。</x:v>
      </x:c>
      <x:c r="M93" s="3" t="str">
        <x:v>breach_strike</x:v>
      </x:c>
    </x:row>
    <x:row r="94" ht="90" customHeight="1">
      <x:c r="A94" s="10" t="str">
        <x:v>瑶瑶牙</x:v>
      </x:c>
      <x:c r="B94" s="10" t="str">
        <x:v>奶团吕布</x:v>
      </x:c>
      <x:c r="C94" s="16" t="n">
        <x:v>0</x:v>
      </x:c>
      <x:c r="D94" s="15" t="n">
        <x:v>0</x:v>
      </x:c>
      <x:c r="E94" s="15" t="n">
        <x:v>0</x:v>
      </x:c>
      <x:c r="F94" s="15" t="n">
        <x:v>0</x:v>
      </x:c>
      <x:c r="G94" s="15" t="n">
        <x:v>0</x:v>
      </x:c>
      <x:c r="H94" s="19" t="n">
        <x:f>IF(AND(C94=1,E94&gt;0),MAX(0,E94-MAX(1,INT(E94*0.15))),E94)</x:f>
        <x:v>0</x:v>
      </x:c>
      <x:c r="I94" s="10" t="str">
        <x:v>使用双手近战武器时，近战武器攻击的护甲伤害 +10%。包括双手斧、剑、锤和长柄；不赋予额外射程。</x:v>
      </x:c>
      <x:c r="J94" s="10" t="str">
        <x:v>11级：自身每回合额外恢复1疲劳，纳入全Mod额外恢复上限</x:v>
      </x:c>
      <x:c r="K94" s="10" t="str">
        <x:v>保留，受全局预算约束</x:v>
      </x:c>
      <x:c r="L94" s="10" t="str">
        <x:v>使用双手近战武器时，近战武器攻击的护甲伤害 +10%。包括双手斧、剑、锤和长柄；不赋予额外射程。</x:v>
      </x:c>
      <x:c r="M94" s="10" t="str">
        <x:v>lvbu_weapon</x:v>
      </x:c>
    </x:row>
    <x:row r="95" ht="90" customHeight="1">
      <x:c r="A95" s="3" t="str">
        <x:v>瑶瑶牙</x:v>
      </x:c>
      <x:c r="B95" s="3" t="str">
        <x:v>回看旗子</x:v>
      </x:c>
      <x:c r="C95" s="17" t="n">
        <x:v>0</x:v>
      </x:c>
      <x:c r="D95" s="15" t="n">
        <x:v>0</x:v>
      </x:c>
      <x:c r="E95" s="15" t="n">
        <x:v>0</x:v>
      </x:c>
      <x:c r="F95" s="15" t="n">
        <x:v>0</x:v>
      </x:c>
      <x:c r="G95" s="15" t="n">
        <x:v>3</x:v>
      </x:c>
      <x:c r="H95" s="19" t="n">
        <x:f>IF(AND(C95=1,E95&gt;0),MAX(0,E95-MAX(1,INT(E95*0.15))),E95)</x:f>
        <x:v>0</x:v>
      </x:c>
      <x:c r="I95" s="3" t="str">
        <x:v>本次行动普通移动后，结束时距可行动队长≤3格，获得决心+8至下次自己回合开始；三队长只取一个来源。</x:v>
      </x:c>
      <x:c r="J95" s="3" t="str">
        <x:v>11级：自身每回合额外恢复1疲劳，纳入全Mod额外恢复上限</x:v>
      </x:c>
      <x:c r="K95" s="3" t="str">
        <x:v>重新定义</x:v>
      </x:c>
      <x:c r="L95" s="3" t="str">
        <x:v>本次行动曾移动且结束时距可行动队长不超过 3 格，获得决心 +6，持续至自己下次回合开始。</x:v>
      </x:c>
      <x:c r="M95" s="3" t="str">
        <x:v>look_flag</x:v>
      </x:c>
    </x:row>
    <x:row r="96" ht="90" customHeight="1">
      <x:c r="A96" s="10" t="str">
        <x:v>羊咩咩</x:v>
      </x:c>
      <x:c r="B96" s="10" t="str">
        <x:v>贴线绕行</x:v>
      </x:c>
      <x:c r="C96" s="16" t="n">
        <x:v>1</x:v>
      </x:c>
      <x:c r="D96" s="15" t="n">
        <x:v>3</x:v>
      </x:c>
      <x:c r="E96" s="15" t="n">
        <x:v>18</x:v>
      </x:c>
      <x:c r="F96" s="15" t="n">
        <x:v>2</x:v>
      </x:c>
      <x:c r="G96" s="15" t="n">
        <x:v>1</x:v>
      </x:c>
      <x:c r="H96" s="19" t="n">
        <x:f>IF(AND(C96=1,E96&gt;0),MAX(0,E96-MAX(1,INT(E96*0.15))),E96)</x:f>
        <x:v>16</x:v>
      </x:c>
      <x:c r="I96" s="10" t="str">
        <x:v>撤到相邻同高可通行空格，免脱离攻击，每战2次；定身/不可移动不能用，不返还AP。与其他移动技共享每回合一次专属位移限制。</x:v>
      </x:c>
      <x:c r="J96" s="10" t="str">
        <x:v>11级：疲劳成本减少15%，向下取整减免，至少减1；AP/冷却/每战次数不变</x:v>
      </x:c>
      <x:c r="K96" s="10" t="str">
        <x:v>重新定义</x:v>
      </x:c>
      <x:c r="L96" s="10" t="str">
        <x:v>安全绕至相邻同高空地，免脱离攻击；定身时不能发动。当前版本为明确的一步撤位。</x:v>
      </x:c>
      <x:c r="M96" s="10" t="str">
        <x:v>line_detour</x:v>
      </x:c>
    </x:row>
    <x:row r="97" ht="90" customHeight="1">
      <x:c r="A97" s="3" t="str">
        <x:v>羊咩咩</x:v>
      </x:c>
      <x:c r="B97" s="3" t="str">
        <x:v>弯道留力</x:v>
      </x:c>
      <x:c r="C97" s="17" t="n">
        <x:v>0</x:v>
      </x:c>
      <x:c r="D97" s="15" t="n">
        <x:v>0</x:v>
      </x:c>
      <x:c r="E97" s="15" t="n">
        <x:v>0</x:v>
      </x:c>
      <x:c r="F97" s="15" t="n">
        <x:v>0</x:v>
      </x:c>
      <x:c r="G97" s="15" t="n">
        <x:v>0</x:v>
      </x:c>
      <x:c r="H97" s="19" t="n">
        <x:f>IF(AND(C97=1,E97&gt;0),MAX(0,E97-MAX(1,INT(E97*0.15))),E97)</x:f>
        <x:v>0</x:v>
      </x:c>
      <x:c r="I97" s="3" t="str">
        <x:v>每轮第二次普通移动完成后恢复 3 疲劳；不会返还行动点，专属位移不计入。</x:v>
      </x:c>
      <x:c r="J97" s="3" t="str">
        <x:v>11级：自身每回合额外恢复1疲劳，纳入全Mod额外恢复上限</x:v>
      </x:c>
      <x:c r="K97" s="3" t="str">
        <x:v>保留，受全局预算约束</x:v>
      </x:c>
      <x:c r="L97" s="3" t="str">
        <x:v>每轮第二次普通移动完成后恢复 3 疲劳；不会返还行动点，专属位移不计入。</x:v>
      </x:c>
      <x:c r="M97" s="3" t="str">
        <x:v>curve_force</x:v>
      </x:c>
    </x:row>
    <x:row r="98" ht="90" customHeight="1">
      <x:c r="A98" s="10" t="str">
        <x:v>羊咩咩</x:v>
      </x:c>
      <x:c r="B98" s="10" t="str">
        <x:v>铃铛带路</x:v>
      </x:c>
      <x:c r="C98" s="16" t="n">
        <x:v>0</x:v>
      </x:c>
      <x:c r="D98" s="15" t="n">
        <x:v>0</x:v>
      </x:c>
      <x:c r="E98" s="15" t="n">
        <x:v>0</x:v>
      </x:c>
      <x:c r="F98" s="15" t="n">
        <x:v>0</x:v>
      </x:c>
      <x:c r="G98" s="15" t="n">
        <x:v>1</x:v>
      </x:c>
      <x:c r="H98" s="19" t="n">
        <x:f>IF(AND(C98=1,E98&gt;0),MAX(0,E98-MAX(1,INT(E98*0.15))),E98)</x:f>
        <x:v>0</x:v>
      </x:c>
      <x:c r="I98" s="10" t="str">
        <x:v>自己回合结束，为一名相邻可行动且疲劳最高的其他队员恢复3疲劳，每轮一次。相同疲劳按实体ID排序，不能选择自身或累加多份铃铛。</x:v>
      </x:c>
      <x:c r="J98" s="10" t="str">
        <x:v>11级：自身每回合额外恢复1疲劳，纳入全Mod额外恢复上限</x:v>
      </x:c>
      <x:c r="K98" s="10" t="str">
        <x:v>重新定义</x:v>
      </x:c>
      <x:c r="L98" s="10" t="str">
        <x:v>自己回合结束时，为一名相邻且可行动的疲劳最高队员恢复 3 疲劳，每轮一次。本版不在地格留下标记。</x:v>
      </x:c>
      <x:c r="M98" s="10" t="str">
        <x:v>bell_lead</x:v>
      </x:c>
    </x:row>
    <x:row r="99" ht="90" customHeight="1">
      <x:c r="A99" s="3" t="str">
        <x:v>宋暖阳</x:v>
      </x:c>
      <x:c r="B99" s="3" t="str">
        <x:v>鹌鹑缩头</x:v>
      </x:c>
      <x:c r="C99" s="17" t="n">
        <x:v>1</x:v>
      </x:c>
      <x:c r="D99" s="15" t="n">
        <x:v>3</x:v>
      </x:c>
      <x:c r="E99" s="15" t="n">
        <x:v>12</x:v>
      </x:c>
      <x:c r="F99" s="15" t="n">
        <x:v>2</x:v>
      </x:c>
      <x:c r="G99" s="15" t="n">
        <x:v>0</x:v>
      </x:c>
      <x:c r="H99" s="19" t="n">
        <x:f>IF(AND(C99=1,E99&gt;0),MAX(0,E99-MAX(1,INT(E99*0.15))),E99)</x:f>
        <x:v>11</x:v>
      </x:c>
      <x:c r="I99" s="3" t="str">
        <x:v>缩在掩体后：远防 +12、近防 +3，至自己下次回合开始；期间不能主动移动。</x:v>
      </x:c>
      <x:c r="J99" s="3" t="str">
        <x:v>11级：疲劳成本减少15%，向下取整减免，至少减1；AP/冷却/每战次数不变</x:v>
      </x:c>
      <x:c r="K99" s="3" t="str">
        <x:v>保留，受全局预算约束</x:v>
      </x:c>
      <x:c r="L99" s="3" t="str">
        <x:v>缩在掩体后：远防 +12、近防 +3，至自己下次回合开始；期间不能主动移动。</x:v>
      </x:c>
      <x:c r="M99" s="3" t="str">
        <x:v>quail_hide</x:v>
      </x:c>
    </x:row>
    <x:row r="100" ht="90" customHeight="1">
      <x:c r="A100" s="10" t="str">
        <x:v>宋暖阳</x:v>
      </x:c>
      <x:c r="B100" s="10" t="str">
        <x:v>鹌鹑报信</x:v>
      </x:c>
      <x:c r="C100" s="16" t="n">
        <x:v>0</x:v>
      </x:c>
      <x:c r="D100" s="15" t="n">
        <x:v>0</x:v>
      </x:c>
      <x:c r="E100" s="15" t="n">
        <x:v>0</x:v>
      </x:c>
      <x:c r="F100" s="15" t="n">
        <x:v>0</x:v>
      </x:c>
      <x:c r="G100" s="15" t="n">
        <x:v>0</x:v>
      </x:c>
      <x:c r="H100" s="19" t="n">
        <x:f>IF(AND(C100=1,E100&gt;0),MAX(0,E100-MAX(1,INT(E100*0.15))),E100)</x:f>
        <x:v>0</x:v>
      </x:c>
      <x:c r="I100" s="10" t="str">
        <x:v>前两轮自身先攻+15、视野+1；后续失效，不向全队广播。</x:v>
      </x:c>
      <x:c r="J100" s="10" t="str">
        <x:v>11级：自身每回合额外恢复1疲劳，纳入全Mod额外恢复上限</x:v>
      </x:c>
      <x:c r="K100" s="10" t="str">
        <x:v>重新定义</x:v>
      </x:c>
      <x:c r="L100" s="10" t="str">
        <x:v>开场第一轮自己先攻 +15、视野 +1；后续轮次不再生效。</x:v>
      </x:c>
      <x:c r="M100" s="10" t="str">
        <x:v>quail_alarm</x:v>
      </x:c>
    </x:row>
    <x:row r="101" ht="90" customHeight="1">
      <x:c r="A101" s="3" t="str">
        <x:v>宋暖阳</x:v>
      </x:c>
      <x:c r="B101" s="3" t="str">
        <x:v>跟着胆大的人</x:v>
      </x:c>
      <x:c r="C101" s="17" t="n">
        <x:v>0</x:v>
      </x:c>
      <x:c r="D101" s="15" t="n">
        <x:v>0</x:v>
      </x:c>
      <x:c r="E101" s="15" t="n">
        <x:v>0</x:v>
      </x:c>
      <x:c r="F101" s="15" t="n">
        <x:v>0</x:v>
      </x:c>
      <x:c r="G101" s="15" t="n">
        <x:v>0</x:v>
      </x:c>
      <x:c r="H101" s="19" t="n">
        <x:f>IF(AND(C101=1,E101&gt;0),MAX(0,E101-MAX(1,INT(E101*0.15))),E101)</x:f>
        <x:v>0</x:v>
      </x:c>
      <x:c r="I101" s="3" t="str">
        <x:v>每轮首次攻击本轮已被其他队员单体武器命中的敌人时，命中 +5。</x:v>
      </x:c>
      <x:c r="J101" s="3" t="str">
        <x:v>11级：自身每回合额外恢复1疲劳，纳入全Mod额外恢复上限</x:v>
      </x:c>
      <x:c r="K101" s="3" t="str">
        <x:v>保留，受全局预算约束</x:v>
      </x:c>
      <x:c r="L101" s="3" t="str">
        <x:v>每轮首次攻击本轮已被其他队员单体武器命中的敌人时，命中 +5。</x:v>
      </x:c>
      <x:c r="M101" s="3" t="str">
        <x:v>quail_courage</x:v>
      </x:c>
    </x:row>
    <x:row r="102" ht="90" customHeight="1">
      <x:c r="A102" s="10" t="str">
        <x:v>溺水小龟</x:v>
      </x:c>
      <x:c r="B102" s="10" t="str">
        <x:v>缩壳</x:v>
      </x:c>
      <x:c r="C102" s="16" t="n">
        <x:v>1</x:v>
      </x:c>
      <x:c r="D102" s="15" t="n">
        <x:v>4</x:v>
      </x:c>
      <x:c r="E102" s="15" t="n">
        <x:v>20</x:v>
      </x:c>
      <x:c r="F102" s="15" t="n">
        <x:v>2</x:v>
      </x:c>
      <x:c r="G102" s="15" t="n">
        <x:v>0</x:v>
      </x:c>
      <x:c r="H102" s="19" t="n">
        <x:f>IF(AND(C102=1,E102&gt;0),MAX(0,E102-MAX(1,INT(E102*0.15))),E102)</x:f>
        <x:v>17</x:v>
      </x:c>
      <x:c r="I102" s="10" t="str">
        <x:v>持盾，直接武器总伤害×0.80至自己下次回合开始；不能主动移动或使用武器技能。失盾/移动/无法行动即结束；不减流血、毒、灼烧。</x:v>
      </x:c>
      <x:c r="J102" s="10" t="str">
        <x:v>11级：疲劳成本减少15%，向下取整减免，至少减1；AP/冷却/每战次数不变</x:v>
      </x:c>
      <x:c r="K102" s="10" t="str">
        <x:v>重新定义</x:v>
      </x:c>
      <x:c r="L102" s="10" t="str">
        <x:v>持盾缩入防线，受到的伤害减少 20%，直到自己下次回合开始。期间不能使用武器技能；移动、失盾或失去行动能力会解除保护。</x:v>
      </x:c>
      <x:c r="M102" s="10" t="str">
        <x:v>turtle_shell</x:v>
      </x:c>
    </x:row>
    <x:row r="103" ht="90" customHeight="1">
      <x:c r="A103" s="3" t="str">
        <x:v>溺水小龟</x:v>
      </x:c>
      <x:c r="B103" s="3" t="str">
        <x:v>飞爹后援</x:v>
      </x:c>
      <x:c r="C103" s="17" t="n">
        <x:v>0</x:v>
      </x:c>
      <x:c r="D103" s="15" t="n">
        <x:v>0</x:v>
      </x:c>
      <x:c r="E103" s="15" t="n">
        <x:v>0</x:v>
      </x:c>
      <x:c r="F103" s="15" t="n">
        <x:v>0</x:v>
      </x:c>
      <x:c r="G103" s="15" t="n">
        <x:v>3</x:v>
      </x:c>
      <x:c r="H103" s="19" t="n">
        <x:f>IF(AND(C103=1,E103&gt;0),MAX(0,E103-MAX(1,INT(E103*0.15))),E103)</x:f>
        <x:v>0</x:v>
      </x:c>
      <x:c r="I103" s="3" t="str">
        <x:v>持盾且可行动阿飞在3格内，自身决心+8、每回合额外恢复2疲劳。阿飞在预备队/死亡/失去行动能力时无效，纳入额外恢复上限。</x:v>
      </x:c>
      <x:c r="J103" s="3" t="str">
        <x:v>11级：自身每回合额外恢复1疲劳，纳入全Mod额外恢复上限</x:v>
      </x:c>
      <x:c r="K103" s="3" t="str">
        <x:v>重新定义</x:v>
      </x:c>
      <x:c r="L103" s="3" t="str">
        <x:v>持盾且与可行动的阿飞相距不超过 3 格时，决心 +8，每回合疲劳恢复量 +2。阿飞在预备队时无效。</x:v>
      </x:c>
      <x:c r="M103" s="3" t="str">
        <x:v>turtle_bond</x:v>
      </x:c>
    </x:row>
    <x:row r="104" ht="90" customHeight="1">
      <x:c r="A104" s="10" t="str">
        <x:v>溺水小龟</x:v>
      </x:c>
      <x:c r="B104" s="10" t="str">
        <x:v>小龟护壳</x:v>
      </x:c>
      <x:c r="C104" s="16" t="n">
        <x:v>1</x:v>
      </x:c>
      <x:c r="D104" s="15" t="n">
        <x:v>3</x:v>
      </x:c>
      <x:c r="E104" s="15" t="n">
        <x:v>14</x:v>
      </x:c>
      <x:c r="F104" s="15" t="n">
        <x:v>2</x:v>
      </x:c>
      <x:c r="G104" s="15" t="n">
        <x:v>1</x:v>
      </x:c>
      <x:c r="H104" s="19" t="n">
        <x:f>IF(AND(C104=1,E104&gt;0),MAX(0,E104-MAX(1,INT(E104*0.15))),E104)</x:f>
        <x:v>12</x:v>
      </x:c>
      <x:c r="I104" s="10" t="str">
        <x:v>持盾保护相邻一名队员，近防/远防+5至其下次回合结束；须保持相邻、持盾、可行动，同类保护取高。</x:v>
      </x:c>
      <x:c r="J104" s="10" t="str">
        <x:v>11级：疲劳成本减少15%，向下取整减免，至少减1；AP/冷却/每战次数不变</x:v>
      </x:c>
      <x:c r="K104" s="10" t="str">
        <x:v>重新定义</x:v>
      </x:c>
      <x:c r="L104" s="10" t="str">
        <x:v>持盾保护相邻队员：近防 +5、远防 +5，至其第二次回合结束。效果要求小龟仍持盾、可行动并保持相邻。</x:v>
      </x:c>
      <x:c r="M104" s="10" t="str">
        <x:v>turtle_cover</x:v>
      </x:c>
    </x:row>
  </x:sheetData>
  <x:pageMargins left="0.7" right="0.7" top="0.75" bottom="0.75" header="0.3" footer="0.3"/>
  <x:tableParts count="1">
    <x:tablePart xmlns:r="http://schemas.openxmlformats.org/officeDocument/2006/relationships" r:id="Re033d21e78d04d67"/>
  </x:tableParts>
</x:worksheet>
</file>

<file path=xl/worksheets/sheet7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39" hidden="0" customWidth="1"/>
    <x:col min="3" max="3" width="9" hidden="0" customWidth="1"/>
    <x:col min="4" max="4" width="9" hidden="0" customWidth="1"/>
    <x:col min="5" max="5" width="9" hidden="0" customWidth="1"/>
    <x:col min="6" max="6" width="86" hidden="0" customWidth="1"/>
    <x:col min="7" max="7" width="69" hidden="0" customWidth="1"/>
    <x:col min="8" max="8" width="78" hidden="0" customWidth="1"/>
  </x:cols>
  <x:sheetData>
    <x:row r="1" ht="36" customHeight="1">
      <x:c r="A1" s="5" t="str">
        <x:v>阿飞总预算与事件边界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路线互斥；人物成长、路线、自行车分别记账。下表全部为提案口径或明确标出的现行保留项。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6" customHeight="1">
      <x:c r="A5" s="9" t="str">
        <x:v>项目</x:v>
      </x:c>
      <x:c r="B5" s="9" t="str">
        <x:v>常驻/限制</x:v>
      </x:c>
      <x:c r="C5" s="9" t="str">
        <x:v>AP</x:v>
      </x:c>
      <x:c r="D5" s="9" t="str">
        <x:v>疲劳</x:v>
      </x:c>
      <x:c r="E5" s="9" t="str">
        <x:v>CD</x:v>
      </x:c>
      <x:c r="F5" s="9" t="str">
        <x:v>效果</x:v>
      </x:c>
      <x:c r="G5" s="9" t="str">
        <x:v>经济/现行对照</x:v>
      </x:c>
      <x:c r="H5" s="9" t="str">
        <x:v>条件/说明</x:v>
      </x:c>
    </x:row>
    <x:row r="6" ht="100" customHeight="1">
      <x:c r="A6" s="10" t="str">
        <x:v>蛤蟆人</x:v>
      </x:c>
      <x:c r="B6" s="10" t="str">
        <x:v>近攻+6，近防/远防+3；不再常驻全伤害+10%</x:v>
      </x:c>
      <x:c r="C6" s="16" t="n">
        <x:v>3</x:v>
      </x:c>
      <x:c r="D6" s="16" t="n">
        <x:v>18</x:v>
      </x:c>
      <x:c r="E6" s="16" t="n">
        <x:v>3</x:v>
      </x:c>
      <x:c r="F6" s="10" t="str">
        <x:v>哇哇叫：自己近攻+8、直接武器总伤害×0.85，至下次自己回合开始；每战2次</x:v>
      </x:c>
      <x:c r="G6" s="10" t="str">
        <x:v>无额外契约收入</x:v>
      </x:c>
      <x:c r="H6" s="10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7" ht="100" customHeight="1">
      <x:c r="A7" s="3" t="str">
        <x:v>嘉豪</x:v>
      </x:c>
      <x:c r="B7" s="3" t="str">
        <x:v>决心+10；偏旗手和士气辅助</x:v>
      </x:c>
      <x:c r="C7" s="17" t="n">
        <x:v>4</x:v>
      </x:c>
      <x:c r="D7" s="17" t="n">
        <x:v>20</x:v>
      </x:c>
      <x:c r="E7" s="17" t="n">
        <x:v>4</x:v>
      </x:c>
      <x:c r="F7" s="3" t="str">
        <x:v>豪气冲天：花60克朗，2格内最多3名队员（含自己）双攻+6、决心+8，至各自下次回合结束；每战2次</x:v>
      </x:c>
      <x:c r="G7" s="3" t="str">
        <x:v>实际有胜利的非送信付费契约实收款+8%，每份≤120，每7日≤360；活着在册才结算</x:v>
      </x:c>
      <x:c r="H7" s="3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8" ht="100" customHeight="1">
      <x:c r="A8" s="10" t="str">
        <x:v>飞碟</x:v>
      </x:c>
      <x:c r="B8" s="10" t="str">
        <x:v>近攻+3、双防+2、决心+5；不是两条路线效果相加</x:v>
      </x:c>
      <x:c r="C8" s="16" t="n">
        <x:v>4</x:v>
      </x:c>
      <x:c r="D8" s="16" t="n">
        <x:v>20</x:v>
      </x:c>
      <x:c r="E8" s="16" t="n">
        <x:v>4</x:v>
      </x:c>
      <x:c r="F8" s="10" t="str">
        <x:v>飞爹在此：花50克朗，2格内自己与最多2名其他队员双攻+5、决心+5至各自下次回合结束；自己另获直接武器总伤害×0.90，同期结束；每战2次</x:v>
      </x:c>
      <x:c r="G8" s="10" t="str">
        <x:v>有胜利的非送信付费契约+5%，每份≤80，每7日≤240；与嘉豪互斥</x:v>
      </x:c>
      <x:c r="H8" s="10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9" ht="100" customHeight="1">
      <x:c r="A9" s="3" t="str">
        <x:v>电子烟</x:v>
      </x:c>
      <x:c r="B9" s="3" t="str">
        <x:v>仅阿飞装备；只发一次</x:v>
      </x:c>
      <x:c r="C9" s="17" t="n">
        <x:v>4</x:v>
      </x:c>
      <x:c r="D9" s="17" t="n">
        <x:v>10</x:v>
      </x:c>
      <x:c r="E9" s="17" t="n">
        <x:v>2</x:v>
      </x:c>
      <x:c r="F9" s="3" t="str">
        <x:v>只有阿飞装备在饰品栏时可用；每次恢复至多15生命，不超过生命上限；每战2次，不修甲、不治伤、不复活。次数和冷却存于角色战斗状态，换装、读档不刷新；不受成员11级精通减耗。满血不可用。</x:v>
      </x:c>
      <x:c r="G9" s="3" t="str">
        <x:v>当前3AP、5疲劳、每回合可用一次、每次至多20生命，无每战总次数上限；只发放一次，不可出售。</x:v>
      </x:c>
      <x:c r="H9" s="3" t="str">
        <x:v>不享受普通成员11级精通</x:v>
      </x:c>
    </x:row>
    <x:row r="10" ht="100" customHeight="1">
      <x:c r="A10" s="10" t="str">
        <x:v>自行车·留下</x:v>
      </x:c>
      <x:c r="B10" s="10" t="str">
        <x:v>生命+2、决心+4</x:v>
      </x:c>
      <x:c r="C10" s="16" t="n">
        <x:v>0</x:v>
      </x:c>
      <x:c r="D10" s="16" t="n">
        <x:v>0</x:v>
      </x:c>
      <x:c r="E10" s="16" t="n">
        <x:v>0</x:v>
      </x:c>
      <x:c r="F10" s="10" t="str">
        <x:v>与告别分支互斥，一次性永久奖励</x:v>
      </x:c>
      <x:c r="G10" s="10" t="str">
        <x:v>不产生收入</x:v>
      </x:c>
      <x:c r="H10" s="10" t="str">
        <x:v>未计入成长总览，见角色手册6种情景</x:v>
      </x:c>
    </x:row>
    <x:row r="11" ht="100" customHeight="1">
      <x:c r="A11" s="3" t="str">
        <x:v>自行车·告别</x:v>
      </x:c>
      <x:c r="B11" s="3" t="str">
        <x:v>疲劳上限+5、先攻+3</x:v>
      </x:c>
      <x:c r="C11" s="17" t="n">
        <x:v>0</x:v>
      </x:c>
      <x:c r="D11" s="17" t="n">
        <x:v>0</x:v>
      </x:c>
      <x:c r="E11" s="17" t="n">
        <x:v>0</x:v>
      </x:c>
      <x:c r="F11" s="3" t="str">
        <x:v>与留下分支互斥，一次性永久奖励</x:v>
      </x:c>
      <x:c r="G11" s="3" t="str">
        <x:v>不产生收入</x:v>
      </x:c>
      <x:c r="H11" s="3" t="str">
        <x:v>旧车丢弃不重发</x:v>
      </x:c>
    </x:row>
    <x:row r="12" ht="100" customHeight="1">
      <x:c r="A12" s="10" t="str">
        <x:v>曹飞派事件</x:v>
      </x:c>
      <x:c r="B12" s="10" t="str">
        <x:v>下一实际战斗决心补足+20</x:v>
      </x:c>
      <x:c r="C12" s="16" t="n">
        <x:v>0</x:v>
      </x:c>
      <x:c r="D12" s="16" t="n">
        <x:v>0</x:v>
      </x:c>
      <x:c r="E12" s="16" t="n">
        <x:v>0</x:v>
      </x:c>
      <x:c r="F12" s="10" t="str">
        <x:v>持续两次自身回合结束；阿飞额外流血两次各5，绷带可处理</x:v>
      </x:c>
      <x:c r="G12" s="10" t="str">
        <x:v>保留当前版本，一次事件票消耗</x:v>
      </x:c>
      <x:c r="H12" s="10" t="str">
        <x:v>不与斗志+30叠加；不默认进入常规战力</x:v>
      </x:c>
    </x:row>
  </x:sheetData>
  <x:pageMargins left="0.7" right="0.7" top="0.75" bottom="0.75" header="0.3" footer="0.3"/>
  <x:tableParts count="1">
    <x:tablePart xmlns:r="http://schemas.openxmlformats.org/officeDocument/2006/relationships" r:id="Re5c86e87316b4984"/>
  </x:tableParts>
</x:worksheet>
</file>

<file path=xl/worksheets/sheet8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6" hidden="0" customWidth="1"/>
    <x:col min="5" max="5" width="13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  <x:col min="15" max="15" width="18" hidden="0" customWidth="1"/>
    <x:col min="16" max="16" width="17" hidden="0" customWidth="1"/>
    <x:col min="17" max="17" width="95" hidden="0" customWidth="1"/>
  </x:cols>
  <x:sheetData>
    <x:row r="1" ht="36" customHeight="1">
      <x:c r="A1" s="5" t="str">
        <x:v>队伍每日现金底线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5" customHeight="1">
      <x:c r="A3" s="7" t="str">
        <x:v>黄色为可编辑预算；人数固定对应所列名单，工资引用成员日薪。收入按实际净入账；包括预备队。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6" customHeight="1">
      <x:c r="A5" s="9" t="str">
        <x:v>情景</x:v>
      </x:c>
      <x:c r="B5" s="9" t="str">
        <x:v>人数</x:v>
      </x:c>
      <x:c r="C5" s="9" t="str">
        <x:v>等级</x:v>
      </x:c>
      <x:c r="D5" s="9" t="str">
        <x:v>一级工资和</x:v>
      </x:c>
      <x:c r="E5" s="9" t="str">
        <x:v>工资倍率</x:v>
      </x:c>
      <x:c r="F5" s="9" t="str">
        <x:v>实际日薪</x:v>
      </x:c>
      <x:c r="G5" s="9" t="str">
        <x:v>食物量/人日</x:v>
      </x:c>
      <x:c r="H5" s="9" t="str">
        <x:v>食物单价</x:v>
      </x:c>
      <x:c r="I5" s="9" t="str">
        <x:v>食品支出</x:v>
      </x:c>
      <x:c r="J5" s="9" t="str">
        <x:v>维修</x:v>
      </x:c>
      <x:c r="K5" s="9" t="str">
        <x:v>药品</x:v>
      </x:c>
      <x:c r="L5" s="9" t="str">
        <x:v>弹药</x:v>
      </x:c>
      <x:c r="M5" s="9" t="str">
        <x:v>维持费/日</x:v>
      </x:c>
      <x:c r="N5" s="9" t="str">
        <x:v>再投资/日</x:v>
      </x:c>
      <x:c r="O5" s="9" t="str">
        <x:v>需净入账/日</x:v>
      </x:c>
      <x:c r="P5" s="9" t="str">
        <x:v>7日储备</x:v>
      </x:c>
      <x:c r="Q5" s="9" t="str">
        <x:v>具体名单</x:v>
      </x:c>
    </x:row>
    <x:row r="6" ht="115" customHeight="1">
      <x:c r="A6" s="10" t="str">
        <x:v>起步6人</x:v>
      </x:c>
      <x:c r="B6" s="30" t="n">
        <x:v>6</x:v>
      </x:c>
      <x:c r="C6" s="32" t="n">
        <x:v>2</x:v>
      </x:c>
      <x:c r="D6" s="19" t="n">
        <x:f>'招募节奏'!N6+'招募节奏'!N7+'招募节奏'!N8+'招募节奏'!N10+'招募节奏'!N11+'招募节奏'!N12</x:f>
        <x:v>62</x:v>
      </x:c>
      <x:c r="E6" s="32" t="n">
        <x:v>1</x:v>
      </x:c>
      <x:c r="F6" s="19" t="n">
        <x:f>D6*'来源说明'!$B$8^MIN(10,C6-1)*'来源说明'!$B$9^MAX(0,C6-11)*E6</x:f>
        <x:v>68.2</x:v>
      </x:c>
      <x:c r="G6" s="32" t="n">
        <x:v>2</x:v>
      </x:c>
      <x:c r="H6" s="32" t="n">
        <x:v>3</x:v>
      </x:c>
      <x:c r="I6" s="19" t="n">
        <x:f>B6*G6*H6</x:f>
        <x:v>36</x:v>
      </x:c>
      <x:c r="J6" s="32" t="n">
        <x:v>24</x:v>
      </x:c>
      <x:c r="K6" s="32" t="n">
        <x:v>8</x:v>
      </x:c>
      <x:c r="L6" s="32" t="n">
        <x:v>4</x:v>
      </x:c>
      <x:c r="M6" s="19" t="n">
        <x:f>F6+I6+J6+K6+L6</x:f>
        <x:v>140.2</x:v>
      </x:c>
      <x:c r="N6" s="32" t="n">
        <x:v>150</x:v>
      </x:c>
      <x:c r="O6" s="19" t="n">
        <x:f>M6+N6</x:f>
        <x:v>290.2</x:v>
      </x:c>
      <x:c r="P6" s="19" t="n">
        <x:f>M6*7</x:f>
        <x:v>981.3999999999999</x:v>
      </x:c>
      <x:c r="Q6" s="10" t="str">
        <x:v>阿飞、王大谋、午夜抹抹茶、白小帅子、李李超欧、小月牙</x:v>
      </x:c>
    </x:row>
    <x:row r="7" ht="115" customHeight="1">
      <x:c r="A7" s="3" t="str">
        <x:v>成形12人</x:v>
      </x:c>
      <x:c r="B7" s="31" t="n">
        <x:v>12</x:v>
      </x:c>
      <x:c r="C7" s="32" t="n">
        <x:v>6</x:v>
      </x:c>
      <x:c r="D7" s="19" t="n">
        <x:f>'招募节奏'!N6+'招募节奏'!N7+'招募节奏'!N8+'招募节奏'!N9+'招募节奏'!N10+'招募节奏'!N11+'招募节奏'!N13+'招募节奏'!N14+'招募节奏'!N15+'招募节奏'!N16+'招募节奏'!N17+'招募节奏'!N18</x:f>
        <x:v>144</x:v>
      </x:c>
      <x:c r="E7" s="32" t="n">
        <x:v>1</x:v>
      </x:c>
      <x:c r="F7" s="19" t="n">
        <x:f>D7*'来源说明'!$B$8^MIN(10,C7-1)*'来源说明'!$B$9^MAX(0,C7-11)*E7</x:f>
        <x:v>231.9134400000001</x:v>
      </x:c>
      <x:c r="G7" s="32" t="n">
        <x:v>2</x:v>
      </x:c>
      <x:c r="H7" s="32" t="n">
        <x:v>3</x:v>
      </x:c>
      <x:c r="I7" s="19" t="n">
        <x:f>B7*G7*H7</x:f>
        <x:v>72</x:v>
      </x:c>
      <x:c r="J7" s="32" t="n">
        <x:v>55</x:v>
      </x:c>
      <x:c r="K7" s="32" t="n">
        <x:v>18</x:v>
      </x:c>
      <x:c r="L7" s="32" t="n">
        <x:v>10</x:v>
      </x:c>
      <x:c r="M7" s="19" t="n">
        <x:f>F7+I7+J7+K7+L7</x:f>
        <x:v>386.9134400000001</x:v>
      </x:c>
      <x:c r="N7" s="32" t="n">
        <x:v>250</x:v>
      </x:c>
      <x:c r="O7" s="19" t="n">
        <x:f>M7+N7</x:f>
        <x:v>636.91344</x:v>
      </x:c>
      <x:c r="P7" s="19" t="n">
        <x:f>M7*7</x:f>
        <x:v>2708.3940800000005</x:v>
      </x:c>
      <x:c r="Q7" s="3" t="str">
        <x:v>阿飞、王大谋、午夜抹抹茶、小酒瓶、白小帅子、李李超欧、余初九、小鱼贝壳、王怼怼、老蔡、眼子哥、亿口甜筒</x:v>
      </x:c>
    </x:row>
    <x:row r="8" ht="115" customHeight="1">
      <x:c r="A8" s="10" t="str">
        <x:v>终局12+4轮换</x:v>
      </x:c>
      <x:c r="B8" s="30" t="n">
        <x:v>16</x:v>
      </x:c>
      <x:c r="C8" s="32" t="n">
        <x:v>11</x:v>
      </x:c>
      <x:c r="D8" s="19" t="n">
        <x:f>'招募节奏'!N6+'招募节奏'!N7+'招募节奏'!N8+'招募节奏'!N9+'招募节奏'!N11+'招募节奏'!N19+'招募节奏'!N22+'招募节奏'!N13+'招募节奏'!N24+'招募节奏'!N25+'招募节奏'!N29+'招募节奏'!N28+'招募节奏'!N36+'招募节奏'!N39+'招募节奏'!N31+'招募节奏'!N33</x:f>
        <x:v>212</x:v>
      </x:c>
      <x:c r="E8" s="32" t="n">
        <x:v>1</x:v>
      </x:c>
      <x:c r="F8" s="19" t="n">
        <x:f>D8*'来源说明'!$B$8^MIN(10,C8-1)*'来源说明'!$B$9^MAX(0,C8-11)*E8</x:f>
        <x:v>549.8734015412005</x:v>
      </x:c>
      <x:c r="G8" s="32" t="n">
        <x:v>2</x:v>
      </x:c>
      <x:c r="H8" s="32" t="n">
        <x:v>3</x:v>
      </x:c>
      <x:c r="I8" s="19" t="n">
        <x:f>B8*G8*H8</x:f>
        <x:v>96</x:v>
      </x:c>
      <x:c r="J8" s="32" t="n">
        <x:v>90</x:v>
      </x:c>
      <x:c r="K8" s="32" t="n">
        <x:v>28</x:v>
      </x:c>
      <x:c r="L8" s="32" t="n">
        <x:v>20</x:v>
      </x:c>
      <x:c r="M8" s="19" t="n">
        <x:f>F8+I8+J8+K8+L8</x:f>
        <x:v>783.8734015412005</x:v>
      </x:c>
      <x:c r="N8" s="32" t="n">
        <x:v>400</x:v>
      </x:c>
      <x:c r="O8" s="19" t="n">
        <x:f>M8+N8</x:f>
        <x:v>1183.8734015412006</x:v>
      </x:c>
      <x:c r="P8" s="19" t="n">
        <x:f>M8*7</x:f>
        <x:v>5487.1138107884035</x:v>
      </x:c>
      <x:c r="Q8" s="10" t="str">
        <x:v>阿飞、王大谋、午夜抹抹茶、小酒瓶、李李超欧、小宁、蔓越莓、余初九、可可、余想、涂涂、玩蛇、瑶瑶牙、溺水小龟、小杰、苏袜</x:v>
      </x:c>
    </x:row>
    <x:row r="9" ht="115" customHeight="1">
      <x:c r="A9" s="3" t="str">
        <x:v>34人满级收藏</x:v>
      </x:c>
      <x:c r="B9" s="31" t="n">
        <x:v>34</x:v>
      </x:c>
      <x:c r="C9" s="32" t="n">
        <x:v>11</x:v>
      </x:c>
      <x:c r="D9" s="19" t="n">
        <x:f>'招募节奏'!N6+'招募节奏'!N7+'招募节奏'!N8+'招募节奏'!N9+'招募节奏'!N10+'招募节奏'!N11+'招募节奏'!N12+'招募节奏'!N13+'招募节奏'!N14+'招募节奏'!N15+'招募节奏'!N16+'招募节奏'!N17+'招募节奏'!N18+'招募节奏'!N19+'招募节奏'!N20+'招募节奏'!N21+'招募节奏'!N22+'招募节奏'!N23+'招募节奏'!N24+'招募节奏'!N25+'招募节奏'!N26+'招募节奏'!N27+'招募节奏'!N28+'招募节奏'!N29+'招募节奏'!N30+'招募节奏'!N31+'招募节奏'!N32+'招募节奏'!N33+'招募节奏'!N34+'招募节奏'!N35+'招募节奏'!N36+'招募节奏'!N37+'招募节奏'!N38+'招募节奏'!N39</x:f>
        <x:v>432</x:v>
      </x:c>
      <x:c r="E9" s="32" t="n">
        <x:v>1</x:v>
      </x:c>
      <x:c r="F9" s="19" t="n">
        <x:f>D9*'来源说明'!$B$8^MIN(10,C9-1)*'来源说明'!$B$9^MAX(0,C9-11)*E9</x:f>
        <x:v>1120.496742763201</x:v>
      </x:c>
      <x:c r="G9" s="32" t="n">
        <x:v>2</x:v>
      </x:c>
      <x:c r="H9" s="32" t="n">
        <x:v>3</x:v>
      </x:c>
      <x:c r="I9" s="19" t="n">
        <x:f>B9*G9*H9</x:f>
        <x:v>204</x:v>
      </x:c>
      <x:c r="J9" s="32" t="n">
        <x:v>120</x:v>
      </x:c>
      <x:c r="K9" s="32" t="n">
        <x:v>40</x:v>
      </x:c>
      <x:c r="L9" s="32" t="n">
        <x:v>30</x:v>
      </x:c>
      <x:c r="M9" s="19" t="n">
        <x:f>F9+I9+J9+K9+L9</x:f>
        <x:v>1514.496742763201</x:v>
      </x:c>
      <x:c r="N9" s="32" t="n">
        <x:v>500</x:v>
      </x:c>
      <x:c r="O9" s="19" t="n">
        <x:f>M9+N9</x:f>
        <x:v>2014.496742763201</x:v>
      </x:c>
      <x:c r="P9" s="19" t="n">
        <x:f>M9*7</x:f>
        <x:v>10601.477199342407</x:v>
      </x:c>
      <x:c r="Q9" s="3" t="str">
        <x:v>阿飞、王大谋、午夜抹抹茶、小酒瓶、白小帅子、李李超欧、小月牙、余初九、小鱼贝壳、王怼怼、老蔡、眼子哥、亿口甜筒、小宁、小胖徐不快乐、大鹅、蔓越莓、罗一可、可可、余想、童猪、美伢、玩蛇、涂涂、奶盖、小杰、bula、苏袜、千涵、王大芷、瑶瑶牙、羊咩咩、宋暖阳、溺水小龟</x:v>
      </x:c>
    </x:row>
  </x:sheetData>
  <x:pageMargins left="0.7" right="0.7" top="0.75" bottom="0.75" header="0.3" footer="0.3"/>
  <x:tableParts count="1">
    <x:tablePart xmlns:r="http://schemas.openxmlformats.org/officeDocument/2006/relationships" r:id="R7f9a9932406e4680"/>
  </x:tableParts>
</x:worksheet>
</file>

<file path=xl/worksheets/sheet9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00" hidden="0" customWidth="1"/>
  </x:cols>
  <x:sheetData>
    <x:row r="1" ht="36" customHeight="1">
      <x:c r="A1" s="5" t="str">
        <x:v>伤害结算与概率试算</x:v>
      </x:c>
      <x:c r="B1" s="3"/>
      <x:c r="C1" s="3"/>
    </x:row>
    <x:row r="2" ht="25" customHeight="1">
      <x:c r="A2" s="3"/>
      <x:c r="B2" s="3"/>
      <x:c r="C2" s="3"/>
    </x:row>
    <x:row r="3" ht="25" customHeight="1">
      <x:c r="A3" s="7" t="str">
        <x:v>黄色输入、绿色公式；只计算单次命中及独立概率。48,000次练习靶原始结果见验证结果.md/validation.json。</x:v>
      </x:c>
      <x:c r="B3" s="3"/>
      <x:c r="C3" s="3"/>
    </x:row>
    <x:row r="4" ht="25" customHeight="1">
      <x:c r="A4" s="3"/>
      <x:c r="B4" s="3"/>
      <x:c r="C4" s="3"/>
    </x:row>
    <x:row r="5" ht="36" customHeight="1">
      <x:c r="A5" s="9" t="str">
        <x:v>参数/结果</x:v>
      </x:c>
      <x:c r="B5" s="9" t="str">
        <x:v>数值</x:v>
      </x:c>
      <x:c r="C5" s="9" t="str">
        <x:v>口径</x:v>
      </x:c>
    </x:row>
    <x:row r="6" ht="25" customHeight="1">
      <x:c r="A6" s="10" t="str">
        <x:v>血伤原始掷点</x:v>
      </x:c>
      <x:c r="B6" s="37" t="n">
        <x:v>90</x:v>
      </x:c>
      <x:c r="C6" s="10" t="str">
        <x:v>输入；独立于甲伤随机掷点</x:v>
      </x:c>
    </x:row>
    <x:row r="7" ht="25" customHeight="1">
      <x:c r="A7" s="3" t="str">
        <x:v>甲伤原始掷点×武器甲伤率</x:v>
      </x:c>
      <x:c r="B7" s="37" t="n">
        <x:v>180</x:v>
      </x:c>
      <x:c r="C7" s="3" t="str">
        <x:v>输入；例如90×200%</x:v>
      </x:c>
    </x:row>
    <x:row r="8" ht="25" customHeight="1">
      <x:c r="A8" s="10" t="str">
        <x:v>穿透率</x:v>
      </x:c>
      <x:c r="B8" s="41" t="n">
        <x:v>0.5</x:v>
      </x:c>
      <x:c r="C8" s="10" t="str">
        <x:v>0～1</x:v>
      </x:c>
    </x:row>
    <x:row r="9" ht="25" customHeight="1">
      <x:c r="A9" s="3" t="str">
        <x:v>命中部位当前护甲</x:v>
      </x:c>
      <x:c r="B9" s="37" t="n">
        <x:v>300</x:v>
      </x:c>
      <x:c r="C9" s="3" t="str">
        <x:v>只填本次命中部位</x:v>
      </x:c>
    </x:row>
    <x:row r="10" ht="25" customHeight="1">
      <x:c r="A10" s="10" t="str">
        <x:v>血伤乘数</x:v>
      </x:c>
      <x:c r="B10" s="37" t="n">
        <x:v>1</x:v>
      </x:c>
      <x:c r="C10" s="10" t="str">
        <x:v>例如轻装0.4</x:v>
      </x:c>
    </x:row>
    <x:row r="11" ht="25" customHeight="1">
      <x:c r="A11" s="3" t="str">
        <x:v>甲伤乘数</x:v>
      </x:c>
      <x:c r="B11" s="37" t="n">
        <x:v>0.7</x:v>
      </x:c>
      <x:c r="C11" s="3" t="str">
        <x:v>例如满600总甲战铸0.7</x:v>
      </x:c>
    </x:row>
    <x:row r="12" ht="25" customHeight="1">
      <x:c r="A12" s="10" t="str">
        <x:v>总伤害乘数</x:v>
      </x:c>
      <x:c r="B12" s="37" t="n">
        <x:v>1</x:v>
      </x:c>
      <x:c r="C12" s="10" t="str">
        <x:v>明确乘区</x:v>
      </x:c>
    </x:row>
    <x:row r="13" ht="25" customHeight="1">
      <x:c r="A13" s="3" t="str">
        <x:v>头部倍率</x:v>
      </x:c>
      <x:c r="B13" s="37" t="n">
        <x:v>1</x:v>
      </x:c>
      <x:c r="C13" s="3" t="str">
        <x:v>躯干1；普通头部1.5</x:v>
      </x:c>
    </x:row>
    <x:row r="14" ht="25" customHeight="1">
      <x:c r="A14" s="10" t="str">
        <x:v>最低伤害参数</x:v>
      </x:c>
      <x:c r="B14" s="37" t="n">
        <x:v>0</x:v>
      </x:c>
      <x:c r="C14" s="10" t="str">
        <x:v>普通武器通常0；依技能</x:v>
      </x:c>
    </x:row>
    <x:row r="15" ht="25" customHeight="1">
      <x:c r="A15" s="3" t="str">
        <x:v>调整后血伤</x:v>
      </x:c>
      <x:c r="B15" s="19" t="n">
        <x:f>B6*B10*B12</x:f>
        <x:v>90</x:v>
      </x:c>
      <x:c r="C15" s="3" t="str">
        <x:v>原始血伤×血伤乘数×总乘数</x:v>
      </x:c>
    </x:row>
    <x:row r="16" ht="25" customHeight="1">
      <x:c r="A16" s="10" t="str">
        <x:v>调整后甲伤</x:v>
      </x:c>
      <x:c r="B16" s="19" t="n">
        <x:f>B7*B11*B12</x:f>
        <x:v>125.99999999999999</x:v>
      </x:c>
      <x:c r="C16" s="10" t="str">
        <x:v>甲伤×甲伤乘数×总乘数</x:v>
      </x:c>
    </x:row>
    <x:row r="17" ht="25" customHeight="1">
      <x:c r="A17" s="3" t="str">
        <x:v>实际扣甲</x:v>
      </x:c>
      <x:c r="B17" s="19" t="n">
        <x:f>IF(B8&lt;1,MIN(B9,B16),0)</x:f>
        <x:v>125.99999999999999</x:v>
      </x:c>
      <x:c r="C17" s="3" t="str">
        <x:v>穿透1时不伤甲</x:v>
      </x:c>
    </x:row>
    <x:row r="18" ht="25" customHeight="1">
      <x:c r="A18" s="10" t="str">
        <x:v>剩余护甲</x:v>
      </x:c>
      <x:c r="B18" s="19" t="n">
        <x:f>IF(B8&lt;1,B9-B17,0)</x:f>
        <x:v>174</x:v>
      </x:c>
      <x:c r="C18" s="10" t="str">
        <x:v>穿透1走特殊全穿透路径</x:v>
      </x:c>
    </x:row>
    <x:row r="19" ht="25" customHeight="1">
      <x:c r="A19" s="3" t="str">
        <x:v>未取整血伤</x:v>
      </x:c>
      <x:c r="B19" s="19" t="n">
        <x:f>MAX(0,B15*B8-B18*0.1)+IF(OR(B18&lt;=0,B8&gt;=1),MAX(0,B15*MAX(0,1-B8)-B17),0)</x:f>
        <x:v>27.599999999999998</x:v>
      </x:c>
      <x:c r="C19" s="3" t="str">
        <x:v>剩甲减免和破甲溢出分别结算</x:v>
      </x:c>
    </x:row>
    <x:row r="20" ht="25" customHeight="1">
      <x:c r="A20" s="10" t="str">
        <x:v>最终掉血</x:v>
      </x:c>
      <x:c r="B20" s="19" t="n">
        <x:f>MAX(0,INT(B19*B13+0.5),MIN(INT(B14+0.5),INT(B14*B12+0.5)))</x:f>
        <x:v>28</x:v>
      </x:c>
      <x:c r="C20" s="10" t="str">
        <x:v>先头部倍率，再原版四舍五入和最低值</x:v>
      </x:c>
    </x:row>
    <x:row r="21" ht="25" customHeight="1">
      <x:c r="A21" s="3" t="str">
        <x:v>补货单次出现概率</x:v>
      </x:c>
      <x:c r="B21" s="41" t="n">
        <x:v>0.05</x:v>
      </x:c>
      <x:c r="C21" s="3" t="str">
        <x:v>合格实际补货，不是打开商店</x:v>
      </x:c>
    </x:row>
    <x:row r="22" ht="25" customHeight="1">
      <x:c r="A22" s="10" t="str">
        <x:v>尝试次数</x:v>
      </x:c>
      <x:c r="B22" s="37" t="n">
        <x:v>20</x:v>
      </x:c>
      <x:c r="C22" s="10" t="str">
        <x:v>独立且没有库存抑制的模型</x:v>
      </x:c>
    </x:row>
    <x:row r="23" ht="25" customHeight="1">
      <x:c r="A23" s="3" t="str">
        <x:v>至少出现一次概率</x:v>
      </x:c>
      <x:c r="B23" s="42" t="n">
        <x:f>1-(1-B21)^B22</x:f>
        <x:v>0.6415140775914581</x:v>
      </x:c>
      <x:c r="C23" s="3" t="str">
        <x:v>1-(1-p)^n</x:v>
      </x:c>
    </x:row>
    <x:row r="24" ht="25" customHeight="1">
      <x:c r="A24" s="10" t="str">
        <x:v>平均等待次数</x:v>
      </x:c>
      <x:c r="B24" s="19" t="n">
        <x:f>IF(B21&gt;0,1/B21,"无出现")</x:f>
        <x:v>20</x:v>
      </x:c>
      <x:c r="C24" s="10" t="str">
        <x:v>几何分布平均</x:v>
      </x:c>
    </x:row>
    <x:row r="25" ht="25" customHeight="1">
      <x:c r="A25" s="3" t="str">
        <x:v>中位等待次数</x:v>
      </x:c>
      <x:c r="B25" s="19" t="n">
        <x:f>IF(B21&lt;=0,"无出现",IF(B21&gt;=1,1,ROUNDUP(LN(0.5)/LN(1-B21),0)))</x:f>
        <x:v>14</x:v>
      </x:c>
      <x:c r="C25" s="3" t="str">
        <x:v>几何分布50%分位</x:v>
      </x:c>
    </x:row>
    <x:row r="26" ht="25" customHeight="1">
      <x:c r="A26" s="10" t="str">
        <x:v>90%等待次数</x:v>
      </x:c>
      <x:c r="B26" s="19" t="n">
        <x:f>IF(B21&lt;=0,"无出现",IF(B21&gt;=1,1,ROUNDUP(LN(0.1)/LN(1-B21),0)))</x:f>
        <x:v>45</x:v>
      </x:c>
      <x:c r="C26" s="10" t="str">
        <x:v>几何分布90%分位</x:v>
      </x:c>
    </x:row>
    <x:row r="27" ht="25" customHeight="1">
      <x:c r="A27" s="3" t="str">
        <x:v>两店各一次概率</x:v>
      </x:c>
      <x:c r="B27" s="42" t="n">
        <x:f>1-(1-B21)^2</x:f>
        <x:v>0.09750000000000003</x:v>
      </x:c>
      <x:c r="C27" s="3" t="str">
        <x:v>1-(1-p)^2</x:v>
      </x:c>
    </x:row>
    <x:row r="28" ht="25" customHeight="1">
      <x:c r="A28" s="10" t="str">
        <x:v>单次治疗</x:v>
      </x:c>
      <x:c r="B28" s="37" t="n">
        <x:v>15</x:v>
      </x:c>
      <x:c r="C28" s="10" t="str">
        <x:v>提案电子烟</x:v>
      </x:c>
    </x:row>
    <x:row r="29" ht="25" customHeight="1">
      <x:c r="A29" s="3" t="str">
        <x:v>每战次数</x:v>
      </x:c>
      <x:c r="B29" s="37" t="n">
        <x:v>2</x:v>
      </x:c>
      <x:c r="C29" s="3" t="str">
        <x:v>必须持久化到战斗状态</x:v>
      </x:c>
    </x:row>
    <x:row r="30" ht="25" customHeight="1">
      <x:c r="A30" s="10" t="str">
        <x:v>治疗量总上限</x:v>
      </x:c>
      <x:c r="B30" s="19" t="n">
        <x:f>B28*B29</x:f>
        <x:v>30</x:v>
      </x:c>
      <x:c r="C30" s="10" t="str">
        <x:v>缺血不足时实际收益更低</x:v>
      </x:c>
    </x:row>
  </x:sheetData>
  <x:pageMargins left="0.7" right="0.7" top="0.75" bottom="0.75" header="0.3" footer="0.3"/>
  <x:tableParts count="1">
    <x:tablePart xmlns:r="http://schemas.openxmlformats.org/officeDocument/2006/relationships" r:id="R0abf0abc257f4439"/>
  </x:tableParts>
</x:worksheet>
</file>

<file path=xl/worksheets/sheet10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4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4" hidden="0" customWidth="1"/>
    <x:col min="13" max="13" width="12" hidden="0" customWidth="1"/>
    <x:col min="14" max="14" width="44" hidden="0" customWidth="1"/>
    <x:col min="15" max="15" width="90" hidden="0" customWidth="1"/>
  </x:cols>
  <x:sheetData>
    <x:row r="1" ht="36" customHeight="1">
      <x:c r="A1" s="5" t="str">
        <x:v>当前运行数据快照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7" t="str">
        <x:v>只读对照：源入口执行导出34人；内部Version31不等于发布版v0.31。不要把本页当建议值。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6" customHeight="1">
      <x:c r="A5" s="9" t="str">
        <x:v>人物</x:v>
      </x:c>
      <x:c r="B5" s="9" t="str">
        <x:v>ID</x:v>
      </x:c>
      <x:c r="C5" s="9" t="str">
        <x:v>当前定位</x:v>
      </x:c>
      <x:c r="D5" s="9" t="str">
        <x:v>生命</x:v>
      </x:c>
      <x:c r="E5" s="9" t="str">
        <x:v>疲劳上限</x:v>
      </x:c>
      <x:c r="F5" s="9" t="str">
        <x:v>决心</x:v>
      </x:c>
      <x:c r="G5" s="9" t="str">
        <x:v>先攻</x:v>
      </x:c>
      <x:c r="H5" s="9" t="str">
        <x:v>近攻</x:v>
      </x:c>
      <x:c r="I5" s="9" t="str">
        <x:v>远攻</x:v>
      </x:c>
      <x:c r="J5" s="9" t="str">
        <x:v>近防</x:v>
      </x:c>
      <x:c r="K5" s="9" t="str">
        <x:v>远防</x:v>
      </x:c>
      <x:c r="L5" s="9" t="str">
        <x:v>当前报价</x:v>
      </x:c>
      <x:c r="M5" s="9" t="str">
        <x:v>一级日薪</x:v>
      </x:c>
      <x:c r="N5" s="9" t="str">
        <x:v>天赋</x:v>
      </x:c>
      <x:c r="O5" s="9" t="str">
        <x:v>当前装备</x:v>
      </x:c>
    </x:row>
    <x:row r="6" ht="70" customHeight="1">
      <x:c r="A6" s="10" t="str">
        <x:v>阿飞</x:v>
      </x:c>
      <x:c r="B6" s="10" t="str">
        <x:v>afei</x:v>
      </x:c>
      <x:c r="C6" s="10" t="str">
        <x:v>前期薄弱，保留后续成长空间</x:v>
      </x:c>
      <x:c r="D6" s="16" t="n">
        <x:v>46</x:v>
      </x:c>
      <x:c r="E6" s="16" t="n">
        <x:v>88</x:v>
      </x:c>
      <x:c r="F6" s="16" t="n">
        <x:v>28</x:v>
      </x:c>
      <x:c r="G6" s="16" t="n">
        <x:v>92</x:v>
      </x:c>
      <x:c r="H6" s="16" t="n">
        <x:v>41</x:v>
      </x:c>
      <x:c r="I6" s="16" t="n">
        <x:v>30</x:v>
      </x:c>
      <x:c r="J6" s="16" t="n">
        <x:v>0</x:v>
      </x:c>
      <x:c r="K6" s="16" t="n">
        <x:v>0</x:v>
      </x:c>
      <x:c r="L6" s="16" t="n">
        <x:v>0</x:v>
      </x:c>
      <x:c r="M6" s="16" t="n">
        <x:v>8</x:v>
      </x:c>
      <x:c r="N6" s="10" t="str">
        <x:v>疲劳上限1星、决心2星、近攻2星</x:v>
      </x:c>
      <x:c r="O6" s="10" t="str">
        <x:v>weapons/bludgeon、armor/thick_tunic、helmets/headscarf、shields/buckler_shield</x:v>
      </x:c>
    </x:row>
    <x:row r="7" ht="70" customHeight="1">
      <x:c r="A7" s="3" t="str">
        <x:v>王大谋</x:v>
      </x:c>
      <x:c r="B7" s="3" t="str">
        <x:v>damou</x:v>
      </x:c>
      <x:c r="C7" s="3" t="str">
        <x:v>开局强势的前排盾卫，近防与决心成长</x:v>
      </x:c>
      <x:c r="D7" s="17" t="n">
        <x:v>55</x:v>
      </x:c>
      <x:c r="E7" s="17" t="n">
        <x:v>96</x:v>
      </x:c>
      <x:c r="F7" s="17" t="n">
        <x:v>41</x:v>
      </x:c>
      <x:c r="G7" s="17" t="n">
        <x:v>97</x:v>
      </x:c>
      <x:c r="H7" s="17" t="n">
        <x:v>55</x:v>
      </x:c>
      <x:c r="I7" s="17" t="n">
        <x:v>33</x:v>
      </x:c>
      <x:c r="J7" s="17" t="n">
        <x:v>4</x:v>
      </x:c>
      <x:c r="K7" s="17" t="n">
        <x:v>2</x:v>
      </x:c>
      <x:c r="L7" s="17" t="n">
        <x:v>0</x:v>
      </x:c>
      <x:c r="M7" s="17" t="n">
        <x:v>15</x:v>
      </x:c>
      <x:c r="N7" s="3" t="str">
        <x:v>疲劳上限1星、决心2星、近防3星</x:v>
      </x:c>
      <x:c r="O7" s="3" t="str">
        <x:v>weapons/boar_spear、armor/padded_leather、helmets/aketon_cap、shields/wooden_shield</x:v>
      </x:c>
    </x:row>
    <x:row r="8" ht="70" customHeight="1">
      <x:c r="A8" s="10" t="str">
        <x:v>午夜抹抹茶</x:v>
      </x:c>
      <x:c r="B8" s="10" t="str">
        <x:v>mocha</x:v>
      </x:c>
      <x:c r="C8" s="10" t="str">
        <x:v>普通水平的后排帮手</x:v>
      </x:c>
      <x:c r="D8" s="16" t="n">
        <x:v>53</x:v>
      </x:c>
      <x:c r="E8" s="16" t="n">
        <x:v>96</x:v>
      </x:c>
      <x:c r="F8" s="16" t="n">
        <x:v>41</x:v>
      </x:c>
      <x:c r="G8" s="16" t="n">
        <x:v>99</x:v>
      </x:c>
      <x:c r="H8" s="16" t="n">
        <x:v>50</x:v>
      </x:c>
      <x:c r="I8" s="16" t="n">
        <x:v>51</x:v>
      </x:c>
      <x:c r="J8" s="16" t="n">
        <x:v>3</x:v>
      </x:c>
      <x:c r="K8" s="16" t="n">
        <x:v>2</x:v>
      </x:c>
      <x:c r="L8" s="16" t="n">
        <x:v>0</x:v>
      </x:c>
      <x:c r="M8" s="16" t="n">
        <x:v>10</x:v>
      </x:c>
      <x:c r="N8" s="10" t="str">
        <x:v>决心1星、远攻1星</x:v>
      </x:c>
      <x:c r="O8" s="10" t="str">
        <x:v>weapons/hunting_bow、armor/thick_tunic、helmets/headscarf、ammo/quiver_of_arrows</x:v>
      </x:c>
    </x:row>
    <x:row r="9" ht="70" customHeight="1">
      <x:c r="A9" s="3" t="str">
        <x:v>小酒瓶</x:v>
      </x:c>
      <x:c r="B9" s="3" t="str">
        <x:v>bottle</x:v>
      </x:c>
      <x:c r="C9" s="3" t="str">
        <x:v>九星核心：近攻、近防与决心；帮助阿飞成长</x:v>
      </x:c>
      <x:c r="D9" s="17" t="n">
        <x:v>54</x:v>
      </x:c>
      <x:c r="E9" s="17" t="n">
        <x:v>96</x:v>
      </x:c>
      <x:c r="F9" s="17" t="n">
        <x:v>42</x:v>
      </x:c>
      <x:c r="G9" s="17" t="n">
        <x:v>98</x:v>
      </x:c>
      <x:c r="H9" s="17" t="n">
        <x:v>55</x:v>
      </x:c>
      <x:c r="I9" s="17" t="n">
        <x:v>36</x:v>
      </x:c>
      <x:c r="J9" s="17" t="n">
        <x:v>4</x:v>
      </x:c>
      <x:c r="K9" s="17" t="n">
        <x:v>2</x:v>
      </x:c>
      <x:c r="L9" s="17" t="n">
        <x:v>220</x:v>
      </x:c>
      <x:c r="M9" s="17" t="n">
        <x:v>10</x:v>
      </x:c>
      <x:c r="N9" s="3" t="str">
        <x:v>决心3星、近攻3星、近防3星</x:v>
      </x:c>
      <x:c r="O9" s="3" t="str">
        <x:v>weapons/shortsword、armor/ragged_dark_surcoat、helmets/hood、shields/wooden_shield</x:v>
      </x:c>
    </x:row>
    <x:row r="10" ht="70" customHeight="1">
      <x:c r="A10" s="10" t="str">
        <x:v>白小帅子</x:v>
      </x:c>
      <x:c r="B10" s="10" t="str">
        <x:v>shuaizi</x:v>
      </x:c>
      <x:c r="C10" s="10" t="str">
        <x:v>可培养的持盾前排</x:v>
      </x:c>
      <x:c r="D10" s="16" t="n">
        <x:v>56</x:v>
      </x:c>
      <x:c r="E10" s="16" t="n">
        <x:v>97</x:v>
      </x:c>
      <x:c r="F10" s="16" t="n">
        <x:v>43</x:v>
      </x:c>
      <x:c r="G10" s="16" t="n">
        <x:v>97</x:v>
      </x:c>
      <x:c r="H10" s="16" t="n">
        <x:v>53</x:v>
      </x:c>
      <x:c r="I10" s="16" t="n">
        <x:v>33</x:v>
      </x:c>
      <x:c r="J10" s="16" t="n">
        <x:v>6</x:v>
      </x:c>
      <x:c r="K10" s="16" t="n">
        <x:v>3</x:v>
      </x:c>
      <x:c r="L10" s="16" t="n">
        <x:v>200</x:v>
      </x:c>
      <x:c r="M10" s="16" t="n">
        <x:v>9</x:v>
      </x:c>
      <x:c r="N10" s="10" t="str">
        <x:v>决心1星、近防2星</x:v>
      </x:c>
      <x:c r="O10" s="10" t="str">
        <x:v>weapons/shortsword、armor/padded_surcoat、shields/wooden_shield</x:v>
      </x:c>
    </x:row>
    <x:row r="11" ht="70" customHeight="1">
      <x:c r="A11" s="3" t="str">
        <x:v>李李超欧</x:v>
      </x:c>
      <x:c r="B11" s="3" t="str">
        <x:v>lili</x:v>
      </x:c>
      <x:c r="C11" s="3" t="str">
        <x:v>弓箭与先手成长</x:v>
      </x:c>
      <x:c r="D11" s="17" t="n">
        <x:v>49</x:v>
      </x:c>
      <x:c r="E11" s="17" t="n">
        <x:v>92</x:v>
      </x:c>
      <x:c r="F11" s="17" t="n">
        <x:v>36</x:v>
      </x:c>
      <x:c r="G11" s="17" t="n">
        <x:v>112</x:v>
      </x:c>
      <x:c r="H11" s="17" t="n">
        <x:v>47</x:v>
      </x:c>
      <x:c r="I11" s="17" t="n">
        <x:v>49</x:v>
      </x:c>
      <x:c r="J11" s="17" t="n">
        <x:v>2</x:v>
      </x:c>
      <x:c r="K11" s="17" t="n">
        <x:v>4</x:v>
      </x:c>
      <x:c r="L11" s="17" t="n">
        <x:v>260</x:v>
      </x:c>
      <x:c r="M11" s="17" t="n">
        <x:v>10</x:v>
      </x:c>
      <x:c r="N11" s="3" t="str">
        <x:v>先攻1星、远攻2星</x:v>
      </x:c>
      <x:c r="O11" s="3" t="str">
        <x:v>weapons/short_bow、ammo/quiver_of_arrows、armor/thick_tunic</x:v>
      </x:c>
    </x:row>
    <x:row r="12" ht="70" customHeight="1">
      <x:c r="A12" s="10" t="str">
        <x:v>小月牙</x:v>
      </x:c>
      <x:c r="B12" s="10" t="str">
        <x:v>xiaoyueya</x:v>
      </x:c>
      <x:c r="C12" s="10" t="str">
        <x:v>投掷与灵活换位倾向</x:v>
      </x:c>
      <x:c r="D12" s="16" t="n">
        <x:v>50</x:v>
      </x:c>
      <x:c r="E12" s="16" t="n">
        <x:v>95</x:v>
      </x:c>
      <x:c r="F12" s="16" t="n">
        <x:v>34</x:v>
      </x:c>
      <x:c r="G12" s="16" t="n">
        <x:v>114</x:v>
      </x:c>
      <x:c r="H12" s="16" t="n">
        <x:v>46</x:v>
      </x:c>
      <x:c r="I12" s="16" t="n">
        <x:v>45</x:v>
      </x:c>
      <x:c r="J12" s="16" t="n">
        <x:v>3</x:v>
      </x:c>
      <x:c r="K12" s="16" t="n">
        <x:v>5</x:v>
      </x:c>
      <x:c r="L12" s="16" t="n">
        <x:v>240</x:v>
      </x:c>
      <x:c r="M12" s="16" t="n">
        <x:v>9</x:v>
      </x:c>
      <x:c r="N12" s="10" t="str">
        <x:v>先攻2星、远攻1星</x:v>
      </x:c>
      <x:c r="O12" s="10" t="str">
        <x:v>weapons/javelin、shields/buckler_shield、armor/thick_tunic</x:v>
      </x:c>
    </x:row>
    <x:row r="13" ht="70" customHeight="1">
      <x:c r="A13" s="3" t="str">
        <x:v>余初九</x:v>
      </x:c>
      <x:c r="B13" s="3" t="str">
        <x:v>yuchujiu</x:v>
      </x:c>
      <x:c r="C13" s="3" t="str">
        <x:v>近攻与先攻二星、近防一星；灵活近战</x:v>
      </x:c>
      <x:c r="D13" s="17" t="n">
        <x:v>48</x:v>
      </x:c>
      <x:c r="E13" s="17" t="n">
        <x:v>91</x:v>
      </x:c>
      <x:c r="F13" s="17" t="n">
        <x:v>42</x:v>
      </x:c>
      <x:c r="G13" s="17" t="n">
        <x:v>112</x:v>
      </x:c>
      <x:c r="H13" s="17" t="n">
        <x:v>45</x:v>
      </x:c>
      <x:c r="I13" s="17" t="n">
        <x:v>43</x:v>
      </x:c>
      <x:c r="J13" s="17" t="n">
        <x:v>3</x:v>
      </x:c>
      <x:c r="K13" s="17" t="n">
        <x:v>5</x:v>
      </x:c>
      <x:c r="L13" s="17" t="n">
        <x:v>280</x:v>
      </x:c>
      <x:c r="M13" s="17" t="n">
        <x:v>10</x:v>
      </x:c>
      <x:c r="N13" s="3" t="str">
        <x:v>先攻2星、近攻2星、近防1星</x:v>
      </x:c>
      <x:c r="O13" s="3" t="str">
        <x:v>weapons/throwing_axe、shields/buckler_shield、armor/thick_tunic、helmets/hood</x:v>
      </x:c>
    </x:row>
    <x:row r="14" ht="70" customHeight="1">
      <x:c r="A14" s="10" t="str">
        <x:v>小鱼贝壳</x:v>
      </x:c>
      <x:c r="B14" s="10" t="str">
        <x:v>xiaoyubeike</x:v>
      </x:c>
      <x:c r="C14" s="10" t="str">
        <x:v>近攻与生命二星、近防一星；耐打的近战队员</x:v>
      </x:c>
      <x:c r="D14" s="16" t="n">
        <x:v>59</x:v>
      </x:c>
      <x:c r="E14" s="16" t="n">
        <x:v>100</x:v>
      </x:c>
      <x:c r="F14" s="16" t="n">
        <x:v>36</x:v>
      </x:c>
      <x:c r="G14" s="16" t="n">
        <x:v>85</x:v>
      </x:c>
      <x:c r="H14" s="16" t="n">
        <x:v>48</x:v>
      </x:c>
      <x:c r="I14" s="16" t="n">
        <x:v>31</x:v>
      </x:c>
      <x:c r="J14" s="16" t="n">
        <x:v>4</x:v>
      </x:c>
      <x:c r="K14" s="16" t="n">
        <x:v>0</x:v>
      </x:c>
      <x:c r="L14" s="16" t="n">
        <x:v>300</x:v>
      </x:c>
      <x:c r="M14" s="16" t="n">
        <x:v>11</x:v>
      </x:c>
      <x:c r="N14" s="10" t="str">
        <x:v>生命2星、近攻2星、近防1星</x:v>
      </x:c>
      <x:c r="O14" s="10" t="str">
        <x:v>weapons/bludgeon、shields/wooden_shield、armor/padded_surcoat</x:v>
      </x:c>
    </x:row>
    <x:row r="15" ht="70" customHeight="1">
      <x:c r="A15" s="3" t="str">
        <x:v>王怼怼</x:v>
      </x:c>
      <x:c r="B15" s="3" t="str">
        <x:v>wangduidui</x:v>
      </x:c>
      <x:c r="C15" s="3" t="str">
        <x:v>决心与先攻较均衡</x:v>
      </x:c>
      <x:c r="D15" s="17" t="n">
        <x:v>52</x:v>
      </x:c>
      <x:c r="E15" s="17" t="n">
        <x:v>96</x:v>
      </x:c>
      <x:c r="F15" s="17" t="n">
        <x:v>45</x:v>
      </x:c>
      <x:c r="G15" s="17" t="n">
        <x:v>108</x:v>
      </x:c>
      <x:c r="H15" s="17" t="n">
        <x:v>52</x:v>
      </x:c>
      <x:c r="I15" s="17" t="n">
        <x:v>36</x:v>
      </x:c>
      <x:c r="J15" s="17" t="n">
        <x:v>4</x:v>
      </x:c>
      <x:c r="K15" s="17" t="n">
        <x:v>3</x:v>
      </x:c>
      <x:c r="L15" s="17" t="n">
        <x:v>280</x:v>
      </x:c>
      <x:c r="M15" s="17" t="n">
        <x:v>10</x:v>
      </x:c>
      <x:c r="N15" s="3" t="str">
        <x:v>决心2星、先攻1星</x:v>
      </x:c>
      <x:c r="O15" s="3" t="str">
        <x:v>weapons/militia_spear、shields/buckler_shield、armor/thick_tunic</x:v>
      </x:c>
    </x:row>
    <x:row r="16" ht="70" customHeight="1">
      <x:c r="A16" s="10" t="str">
        <x:v>老蔡</x:v>
      </x:c>
      <x:c r="B16" s="10" t="str">
        <x:v>laocai</x:v>
      </x:c>
      <x:c r="C16" s="10" t="str">
        <x:v>稳健前排盾卫，近防、决心与生命成长</x:v>
      </x:c>
      <x:c r="D16" s="16" t="n">
        <x:v>55</x:v>
      </x:c>
      <x:c r="E16" s="16" t="n">
        <x:v>99</x:v>
      </x:c>
      <x:c r="F16" s="16" t="n">
        <x:v>48</x:v>
      </x:c>
      <x:c r="G16" s="16" t="n">
        <x:v>97</x:v>
      </x:c>
      <x:c r="H16" s="16" t="n">
        <x:v>58</x:v>
      </x:c>
      <x:c r="I16" s="16" t="n">
        <x:v>37</x:v>
      </x:c>
      <x:c r="J16" s="16" t="n">
        <x:v>5</x:v>
      </x:c>
      <x:c r="K16" s="16" t="n">
        <x:v>3</x:v>
      </x:c>
      <x:c r="L16" s="16" t="n">
        <x:v>440</x:v>
      </x:c>
      <x:c r="M16" s="16" t="n">
        <x:v>14</x:v>
      </x:c>
      <x:c r="N16" s="10" t="str">
        <x:v>生命1星、决心2星、近防3星</x:v>
      </x:c>
      <x:c r="O16" s="10" t="str">
        <x:v>weapons/boar_spear、shields/wooden_shield、armor/padded_surcoat、helmets/aketon_cap</x:v>
      </x:c>
    </x:row>
    <x:row r="17" ht="70" customHeight="1">
      <x:c r="A17" s="3" t="str">
        <x:v>眼子哥</x:v>
      </x:c>
      <x:c r="B17" s="3" t="str">
        <x:v>yanzi</x:v>
      </x:c>
      <x:c r="C17" s="3" t="str">
        <x:v>近防与决心兼顾的剑盾配置</x:v>
      </x:c>
      <x:c r="D17" s="17" t="n">
        <x:v>56</x:v>
      </x:c>
      <x:c r="E17" s="17" t="n">
        <x:v>101</x:v>
      </x:c>
      <x:c r="F17" s="17" t="n">
        <x:v>48</x:v>
      </x:c>
      <x:c r="G17" s="17" t="n">
        <x:v>106</x:v>
      </x:c>
      <x:c r="H17" s="17" t="n">
        <x:v>57</x:v>
      </x:c>
      <x:c r="I17" s="17" t="n">
        <x:v>40</x:v>
      </x:c>
      <x:c r="J17" s="17" t="n">
        <x:v>7</x:v>
      </x:c>
      <x:c r="K17" s="17" t="n">
        <x:v>5</x:v>
      </x:c>
      <x:c r="L17" s="17" t="n">
        <x:v>380</x:v>
      </x:c>
      <x:c r="M17" s="17" t="n">
        <x:v>12</x:v>
      </x:c>
      <x:c r="N17" s="3" t="str">
        <x:v>决心1星、近防1星、远防1星</x:v>
      </x:c>
      <x:c r="O17" s="3" t="str">
        <x:v>weapons/shortsword、shields/wooden_shield、armor/padded_surcoat</x:v>
      </x:c>
    </x:row>
    <x:row r="18" ht="70" customHeight="1">
      <x:c r="A18" s="10" t="str">
        <x:v>亿口甜筒</x:v>
      </x:c>
      <x:c r="B18" s="10" t="str">
        <x:v>tiantong</x:v>
      </x:c>
      <x:c r="C18" s="10" t="str">
        <x:v>稳定弓手与决心成长</x:v>
      </x:c>
      <x:c r="D18" s="16" t="n">
        <x:v>50</x:v>
      </x:c>
      <x:c r="E18" s="16" t="n">
        <x:v>93</x:v>
      </x:c>
      <x:c r="F18" s="16" t="n">
        <x:v>43</x:v>
      </x:c>
      <x:c r="G18" s="16" t="n">
        <x:v>106</x:v>
      </x:c>
      <x:c r="H18" s="16" t="n">
        <x:v>46</x:v>
      </x:c>
      <x:c r="I18" s="16" t="n">
        <x:v>53</x:v>
      </x:c>
      <x:c r="J18" s="16" t="n">
        <x:v>2</x:v>
      </x:c>
      <x:c r="K18" s="16" t="n">
        <x:v>5</x:v>
      </x:c>
      <x:c r="L18" s="16" t="n">
        <x:v>340</x:v>
      </x:c>
      <x:c r="M18" s="16" t="n">
        <x:v>11</x:v>
      </x:c>
      <x:c r="N18" s="10" t="str">
        <x:v>决心1星、远攻2星</x:v>
      </x:c>
      <x:c r="O18" s="10" t="str">
        <x:v>weapons/hunting_bow、ammo/quiver_of_arrows、armor/thick_tunic</x:v>
      </x:c>
    </x:row>
    <x:row r="19" ht="70" customHeight="1">
      <x:c r="A19" s="3" t="str">
        <x:v>小宁</x:v>
      </x:c>
      <x:c r="B19" s="3" t="str">
        <x:v>xiaoning</x:v>
      </x:c>
      <x:c r="C19" s="3" t="str">
        <x:v>远攻与远防偏好的弩手</x:v>
      </x:c>
      <x:c r="D19" s="17" t="n">
        <x:v>49</x:v>
      </x:c>
      <x:c r="E19" s="17" t="n">
        <x:v>91</x:v>
      </x:c>
      <x:c r="F19" s="17" t="n">
        <x:v>39</x:v>
      </x:c>
      <x:c r="G19" s="17" t="n">
        <x:v>101</x:v>
      </x:c>
      <x:c r="H19" s="17" t="n">
        <x:v>48</x:v>
      </x:c>
      <x:c r="I19" s="17" t="n">
        <x:v>56</x:v>
      </x:c>
      <x:c r="J19" s="17" t="n">
        <x:v>3</x:v>
      </x:c>
      <x:c r="K19" s="17" t="n">
        <x:v>7</x:v>
      </x:c>
      <x:c r="L19" s="17" t="n">
        <x:v>390</x:v>
      </x:c>
      <x:c r="M19" s="17" t="n">
        <x:v>12</x:v>
      </x:c>
      <x:c r="N19" s="3" t="str">
        <x:v>远攻2星、远防1星</x:v>
      </x:c>
      <x:c r="O19" s="3" t="str">
        <x:v>weapons/light_crossbow、ammo/quiver_of_bolts、armor/padded_surcoat</x:v>
      </x:c>
    </x:row>
    <x:row r="20" ht="70" customHeight="1">
      <x:c r="A20" s="10" t="str">
        <x:v>小胖徐不快乐</x:v>
      </x:c>
      <x:c r="B20" s="10" t="str">
        <x:v>xiaopangxu</x:v>
      </x:c>
      <x:c r="C20" s="10" t="str">
        <x:v>耐力与近防偏好的盾斧配置</x:v>
      </x:c>
      <x:c r="D20" s="16" t="n">
        <x:v>60</x:v>
      </x:c>
      <x:c r="E20" s="16" t="n">
        <x:v>106</x:v>
      </x:c>
      <x:c r="F20" s="16" t="n">
        <x:v>40</x:v>
      </x:c>
      <x:c r="G20" s="16" t="n">
        <x:v>89</x:v>
      </x:c>
      <x:c r="H20" s="16" t="n">
        <x:v>55</x:v>
      </x:c>
      <x:c r="I20" s="16" t="n">
        <x:v>31</x:v>
      </x:c>
      <x:c r="J20" s="16" t="n">
        <x:v>7</x:v>
      </x:c>
      <x:c r="K20" s="16" t="n">
        <x:v>2</x:v>
      </x:c>
      <x:c r="L20" s="16" t="n">
        <x:v>400</x:v>
      </x:c>
      <x:c r="M20" s="16" t="n">
        <x:v>12</x:v>
      </x:c>
      <x:c r="N20" s="10" t="str">
        <x:v>疲劳上限2星、近防1星</x:v>
      </x:c>
      <x:c r="O20" s="10" t="str">
        <x:v>weapons/hand_axe、shields/wooden_shield、armor/padded_surcoat</x:v>
      </x:c>
    </x:row>
    <x:row r="21" ht="70" customHeight="1">
      <x:c r="A21" s="3" t="str">
        <x:v>大鹅</x:v>
      </x:c>
      <x:c r="B21" s="3" t="str">
        <x:v>dae</x:v>
      </x:c>
      <x:c r="C21" s="3" t="str">
        <x:v>守位前排盾卫，近防、决心与生命成长</x:v>
      </x:c>
      <x:c r="D21" s="17" t="n">
        <x:v>59</x:v>
      </x:c>
      <x:c r="E21" s="17" t="n">
        <x:v>99</x:v>
      </x:c>
      <x:c r="F21" s="17" t="n">
        <x:v>44</x:v>
      </x:c>
      <x:c r="G21" s="17" t="n">
        <x:v>91</x:v>
      </x:c>
      <x:c r="H21" s="17" t="n">
        <x:v>53</x:v>
      </x:c>
      <x:c r="I21" s="17" t="n">
        <x:v>33</x:v>
      </x:c>
      <x:c r="J21" s="17" t="n">
        <x:v>8</x:v>
      </x:c>
      <x:c r="K21" s="17" t="n">
        <x:v>2</x:v>
      </x:c>
      <x:c r="L21" s="17" t="n">
        <x:v>370</x:v>
      </x:c>
      <x:c r="M21" s="17" t="n">
        <x:v>11</x:v>
      </x:c>
      <x:c r="N21" s="3" t="str">
        <x:v>生命1星、决心2星、近防3星</x:v>
      </x:c>
      <x:c r="O21" s="3" t="str">
        <x:v>weapons/militia_spear、shields/wooden_shield、armor/padded_surcoat、helmets/hood</x:v>
      </x:c>
    </x:row>
    <x:row r="22" ht="70" customHeight="1">
      <x:c r="A22" s="10" t="str">
        <x:v>蔓越莓</x:v>
      </x:c>
      <x:c r="B22" s="10" t="str">
        <x:v>manyuemei</x:v>
      </x:c>
      <x:c r="C22" s="10" t="str">
        <x:v>远攻与先攻兼顾</x:v>
      </x:c>
      <x:c r="D22" s="16" t="n">
        <x:v>48</x:v>
      </x:c>
      <x:c r="E22" s="16" t="n">
        <x:v>95</x:v>
      </x:c>
      <x:c r="F22" s="16" t="n">
        <x:v>42</x:v>
      </x:c>
      <x:c r="G22" s="16" t="n">
        <x:v>113</x:v>
      </x:c>
      <x:c r="H22" s="16" t="n">
        <x:v>45</x:v>
      </x:c>
      <x:c r="I22" s="16" t="n">
        <x:v>54</x:v>
      </x:c>
      <x:c r="J22" s="16" t="n">
        <x:v>3</x:v>
      </x:c>
      <x:c r="K22" s="16" t="n">
        <x:v>6</x:v>
      </x:c>
      <x:c r="L22" s="16" t="n">
        <x:v>410</x:v>
      </x:c>
      <x:c r="M22" s="16" t="n">
        <x:v>12</x:v>
      </x:c>
      <x:c r="N22" s="10" t="str">
        <x:v>先攻2星、远攻2星</x:v>
      </x:c>
      <x:c r="O22" s="10" t="str">
        <x:v>weapons/light_crossbow、ammo/quiver_of_bolts、armor/thick_tunic</x:v>
      </x:c>
    </x:row>
    <x:row r="23" ht="70" customHeight="1">
      <x:c r="A23" s="3" t="str">
        <x:v>罗一可</x:v>
      </x:c>
      <x:c r="B23" s="3" t="str">
        <x:v>xiaohani</x:v>
      </x:c>
      <x:c r="C23" s="3" t="str">
        <x:v>近攻与先攻偏好的轻装配置</x:v>
      </x:c>
      <x:c r="D23" s="17" t="n">
        <x:v>51</x:v>
      </x:c>
      <x:c r="E23" s="17" t="n">
        <x:v>98</x:v>
      </x:c>
      <x:c r="F23" s="17" t="n">
        <x:v>37</x:v>
      </x:c>
      <x:c r="G23" s="17" t="n">
        <x:v>116</x:v>
      </x:c>
      <x:c r="H23" s="17" t="n">
        <x:v>52</x:v>
      </x:c>
      <x:c r="I23" s="17" t="n">
        <x:v>41</x:v>
      </x:c>
      <x:c r="J23" s="17" t="n">
        <x:v>4</x:v>
      </x:c>
      <x:c r="K23" s="17" t="n">
        <x:v>5</x:v>
      </x:c>
      <x:c r="L23" s="17" t="n">
        <x:v>330</x:v>
      </x:c>
      <x:c r="M23" s="17" t="n">
        <x:v>10</x:v>
      </x:c>
      <x:c r="N23" s="3" t="str">
        <x:v>先攻2星、近攻1星</x:v>
      </x:c>
      <x:c r="O23" s="3" t="str">
        <x:v>weapons/falchion、shields/buckler_shield、armor/thick_tunic</x:v>
      </x:c>
    </x:row>
    <x:row r="24" ht="70" customHeight="1">
      <x:c r="A24" s="10" t="str">
        <x:v>可可</x:v>
      </x:c>
      <x:c r="B24" s="10" t="str">
        <x:v>keke</x:v>
      </x:c>
      <x:c r="C24" s="10" t="str">
        <x:v>鼓舞同伴的前排盾卫，近防与决心成长</x:v>
      </x:c>
      <x:c r="D24" s="16" t="n">
        <x:v>53</x:v>
      </x:c>
      <x:c r="E24" s="16" t="n">
        <x:v>96</x:v>
      </x:c>
      <x:c r="F24" s="16" t="n">
        <x:v>46</x:v>
      </x:c>
      <x:c r="G24" s="16" t="n">
        <x:v>100</x:v>
      </x:c>
      <x:c r="H24" s="16" t="n">
        <x:v>50</x:v>
      </x:c>
      <x:c r="I24" s="16" t="n">
        <x:v>52</x:v>
      </x:c>
      <x:c r="J24" s="16" t="n">
        <x:v>5</x:v>
      </x:c>
      <x:c r="K24" s="16" t="n">
        <x:v>5</x:v>
      </x:c>
      <x:c r="L24" s="16" t="n">
        <x:v>420</x:v>
      </x:c>
      <x:c r="M24" s="16" t="n">
        <x:v>13</x:v>
      </x:c>
      <x:c r="N24" s="10" t="str">
        <x:v>疲劳上限1星、决心2星、近防3星</x:v>
      </x:c>
      <x:c r="O24" s="10" t="str">
        <x:v>weapons/boar_spear、shields/wooden_shield、armor/padded_surcoat</x:v>
      </x:c>
    </x:row>
    <x:row r="25" ht="70" customHeight="1">
      <x:c r="A25" s="3" t="str">
        <x:v>余想</x:v>
      </x:c>
      <x:c r="B25" s="3" t="str">
        <x:v>yuxiang</x:v>
      </x:c>
      <x:c r="C25" s="3" t="str">
        <x:v>长柄武器与持续站位</x:v>
      </x:c>
      <x:c r="D25" s="17" t="n">
        <x:v>57</x:v>
      </x:c>
      <x:c r="E25" s="17" t="n">
        <x:v>104</x:v>
      </x:c>
      <x:c r="F25" s="17" t="n">
        <x:v>47</x:v>
      </x:c>
      <x:c r="G25" s="17" t="n">
        <x:v>94</x:v>
      </x:c>
      <x:c r="H25" s="17" t="n">
        <x:v>56</x:v>
      </x:c>
      <x:c r="I25" s="17" t="n">
        <x:v>33</x:v>
      </x:c>
      <x:c r="J25" s="17" t="n">
        <x:v>6</x:v>
      </x:c>
      <x:c r="K25" s="17" t="n">
        <x:v>3</x:v>
      </x:c>
      <x:c r="L25" s="17" t="n">
        <x:v>400</x:v>
      </x:c>
      <x:c r="M25" s="17" t="n">
        <x:v>12</x:v>
      </x:c>
      <x:c r="N25" s="3" t="str">
        <x:v>疲劳上限1星、决心2星、近防1星</x:v>
      </x:c>
      <x:c r="O25" s="3" t="str">
        <x:v>weapons/pitchfork、armor/padded_surcoat、helmets/hood</x:v>
      </x:c>
    </x:row>
    <x:row r="26" ht="70" customHeight="1">
      <x:c r="A26" s="10" t="str">
        <x:v>童猪</x:v>
      </x:c>
      <x:c r="B26" s="10" t="str">
        <x:v>tongzhu</x:v>
      </x:c>
      <x:c r="C26" s="10" t="str">
        <x:v>生命与决心较有潜力</x:v>
      </x:c>
      <x:c r="D26" s="16" t="n">
        <x:v>56</x:v>
      </x:c>
      <x:c r="E26" s="16" t="n">
        <x:v>94</x:v>
      </x:c>
      <x:c r="F26" s="16" t="n">
        <x:v>48</x:v>
      </x:c>
      <x:c r="G26" s="16" t="n">
        <x:v>104</x:v>
      </x:c>
      <x:c r="H26" s="16" t="n">
        <x:v>49</x:v>
      </x:c>
      <x:c r="I26" s="16" t="n">
        <x:v>38</x:v>
      </x:c>
      <x:c r="J26" s="16" t="n">
        <x:v>4</x:v>
      </x:c>
      <x:c r="K26" s="16" t="n">
        <x:v>3</x:v>
      </x:c>
      <x:c r="L26" s="16" t="n">
        <x:v>320</x:v>
      </x:c>
      <x:c r="M26" s="16" t="n">
        <x:v>10</x:v>
      </x:c>
      <x:c r="N26" s="10" t="str">
        <x:v>生命1星、决心2星</x:v>
      </x:c>
      <x:c r="O26" s="10" t="str">
        <x:v>weapons/wooden_stick、shields/buckler_shield、armor/thick_tunic</x:v>
      </x:c>
    </x:row>
    <x:row r="27" ht="70" customHeight="1">
      <x:c r="A27" s="3" t="str">
        <x:v>美伢</x:v>
      </x:c>
      <x:c r="B27" s="3" t="str">
        <x:v>meiya</x:v>
      </x:c>
      <x:c r="C27" s="3" t="str">
        <x:v>近攻、耐力与先攻均衡</x:v>
      </x:c>
      <x:c r="D27" s="17" t="n">
        <x:v>54</x:v>
      </x:c>
      <x:c r="E27" s="17" t="n">
        <x:v>101</x:v>
      </x:c>
      <x:c r="F27" s="17" t="n">
        <x:v>43</x:v>
      </x:c>
      <x:c r="G27" s="17" t="n">
        <x:v>109</x:v>
      </x:c>
      <x:c r="H27" s="17" t="n">
        <x:v>56</x:v>
      </x:c>
      <x:c r="I27" s="17" t="n">
        <x:v>37</x:v>
      </x:c>
      <x:c r="J27" s="17" t="n">
        <x:v>5</x:v>
      </x:c>
      <x:c r="K27" s="17" t="n">
        <x:v>3</x:v>
      </x:c>
      <x:c r="L27" s="17" t="n">
        <x:v>430</x:v>
      </x:c>
      <x:c r="M27" s="17" t="n">
        <x:v>12</x:v>
      </x:c>
      <x:c r="N27" s="3" t="str">
        <x:v>疲劳上限1星、先攻1星、近攻1星</x:v>
      </x:c>
      <x:c r="O27" s="3" t="str">
        <x:v>weapons/warfork、armor/padded_surcoat</x:v>
      </x:c>
    </x:row>
    <x:row r="28" ht="70" customHeight="1">
      <x:c r="A28" s="10" t="str">
        <x:v>玩蛇</x:v>
      </x:c>
      <x:c r="B28" s="10" t="str">
        <x:v>wanshe</x:v>
      </x:c>
      <x:c r="C28" s="10" t="str">
        <x:v>近攻与先攻偏好的单手剑配置</x:v>
      </x:c>
      <x:c r="D28" s="16" t="n">
        <x:v>52</x:v>
      </x:c>
      <x:c r="E28" s="16" t="n">
        <x:v>98</x:v>
      </x:c>
      <x:c r="F28" s="16" t="n">
        <x:v>39</x:v>
      </x:c>
      <x:c r="G28" s="16" t="n">
        <x:v>111</x:v>
      </x:c>
      <x:c r="H28" s="16" t="n">
        <x:v>57</x:v>
      </x:c>
      <x:c r="I28" s="16" t="n">
        <x:v>34</x:v>
      </x:c>
      <x:c r="J28" s="16" t="n">
        <x:v>6</x:v>
      </x:c>
      <x:c r="K28" s="16" t="n">
        <x:v>4</x:v>
      </x:c>
      <x:c r="L28" s="16" t="n">
        <x:v>420</x:v>
      </x:c>
      <x:c r="M28" s="16" t="n">
        <x:v>12</x:v>
      </x:c>
      <x:c r="N28" s="10" t="str">
        <x:v>先攻1星、近攻2星</x:v>
      </x:c>
      <x:c r="O28" s="10" t="str">
        <x:v>weapons/shortsword、shields/buckler_shield、armor/thick_tunic</x:v>
      </x:c>
    </x:row>
    <x:row r="29" ht="70" customHeight="1">
      <x:c r="A29" s="3" t="str">
        <x:v>涂涂</x:v>
      </x:c>
      <x:c r="B29" s="3" t="str">
        <x:v>tutu</x:v>
      </x:c>
      <x:c r="C29" s="3" t="str">
        <x:v>决心与耐力偏好的轻装起步</x:v>
      </x:c>
      <x:c r="D29" s="17" t="n">
        <x:v>50</x:v>
      </x:c>
      <x:c r="E29" s="17" t="n">
        <x:v>100</x:v>
      </x:c>
      <x:c r="F29" s="17" t="n">
        <x:v>50</x:v>
      </x:c>
      <x:c r="G29" s="17" t="n">
        <x:v>103</x:v>
      </x:c>
      <x:c r="H29" s="17" t="n">
        <x:v>48</x:v>
      </x:c>
      <x:c r="I29" s="17" t="n">
        <x:v>40</x:v>
      </x:c>
      <x:c r="J29" s="17" t="n">
        <x:v>3</x:v>
      </x:c>
      <x:c r="K29" s="17" t="n">
        <x:v>4</x:v>
      </x:c>
      <x:c r="L29" s="17" t="n">
        <x:v>310</x:v>
      </x:c>
      <x:c r="M29" s="17" t="n">
        <x:v>10</x:v>
      </x:c>
      <x:c r="N29" s="3" t="str">
        <x:v>疲劳上限1星、决心2星</x:v>
      </x:c>
      <x:c r="O29" s="3" t="str">
        <x:v>weapons/lute、armor/thick_tunic</x:v>
      </x:c>
    </x:row>
    <x:row r="30" ht="70" customHeight="1">
      <x:c r="A30" s="10" t="str">
        <x:v>奶盖</x:v>
      </x:c>
      <x:c r="B30" s="10" t="str">
        <x:v>naigai</x:v>
      </x:c>
      <x:c r="C30" s="10" t="str">
        <x:v>近防与投掷有潜力的新手</x:v>
      </x:c>
      <x:c r="D30" s="16" t="n">
        <x:v>52</x:v>
      </x:c>
      <x:c r="E30" s="16" t="n">
        <x:v>95</x:v>
      </x:c>
      <x:c r="F30" s="16" t="n">
        <x:v>33</x:v>
      </x:c>
      <x:c r="G30" s="16" t="n">
        <x:v>107</x:v>
      </x:c>
      <x:c r="H30" s="16" t="n">
        <x:v>46</x:v>
      </x:c>
      <x:c r="I30" s="16" t="n">
        <x:v>42</x:v>
      </x:c>
      <x:c r="J30" s="16" t="n">
        <x:v>3</x:v>
      </x:c>
      <x:c r="K30" s="16" t="n">
        <x:v>2</x:v>
      </x:c>
      <x:c r="L30" s="16" t="n">
        <x:v>280</x:v>
      </x:c>
      <x:c r="M30" s="16" t="n">
        <x:v>9</x:v>
      </x:c>
      <x:c r="N30" s="10" t="str">
        <x:v>远攻1星、近防2星</x:v>
      </x:c>
      <x:c r="O30" s="10" t="str">
        <x:v>weapons/throwing_axe、shields/buckler_shield、armor/thick_tunic</x:v>
      </x:c>
    </x:row>
    <x:row r="31" ht="70" customHeight="1">
      <x:c r="A31" s="3" t="str">
        <x:v>小杰</x:v>
      </x:c>
      <x:c r="B31" s="3" t="str">
        <x:v>xiaojie</x:v>
      </x:c>
      <x:c r="C31" s="3" t="str">
        <x:v>耐力与生命偏好的近战配置</x:v>
      </x:c>
      <x:c r="D31" s="17" t="n">
        <x:v>58</x:v>
      </x:c>
      <x:c r="E31" s="17" t="n">
        <x:v>105</x:v>
      </x:c>
      <x:c r="F31" s="17" t="n">
        <x:v>39</x:v>
      </x:c>
      <x:c r="G31" s="17" t="n">
        <x:v>96</x:v>
      </x:c>
      <x:c r="H31" s="17" t="n">
        <x:v>51</x:v>
      </x:c>
      <x:c r="I31" s="17" t="n">
        <x:v>35</x:v>
      </x:c>
      <x:c r="J31" s="17" t="n">
        <x:v>4</x:v>
      </x:c>
      <x:c r="K31" s="17" t="n">
        <x:v>3</x:v>
      </x:c>
      <x:c r="L31" s="17" t="n">
        <x:v>320</x:v>
      </x:c>
      <x:c r="M31" s="17" t="n">
        <x:v>10</x:v>
      </x:c>
      <x:c r="N31" s="3" t="str">
        <x:v>生命1星、疲劳上限2星</x:v>
      </x:c>
      <x:c r="O31" s="3" t="str">
        <x:v>weapons/pickaxe、shields/buckler_shield、armor/thick_tunic</x:v>
      </x:c>
    </x:row>
    <x:row r="32" ht="70" customHeight="1">
      <x:c r="A32" s="10" t="str">
        <x:v>bula</x:v>
      </x:c>
      <x:c r="B32" s="10" t="str">
        <x:v>bula</x:v>
      </x:c>
      <x:c r="C32" s="10" t="str">
        <x:v>生命、决心与远防均衡</x:v>
      </x:c>
      <x:c r="D32" s="16" t="n">
        <x:v>54</x:v>
      </x:c>
      <x:c r="E32" s="16" t="n">
        <x:v>98</x:v>
      </x:c>
      <x:c r="F32" s="16" t="n">
        <x:v>45</x:v>
      </x:c>
      <x:c r="G32" s="16" t="n">
        <x:v>98</x:v>
      </x:c>
      <x:c r="H32" s="16" t="n">
        <x:v>49</x:v>
      </x:c>
      <x:c r="I32" s="16" t="n">
        <x:v>40</x:v>
      </x:c>
      <x:c r="J32" s="16" t="n">
        <x:v>4</x:v>
      </x:c>
      <x:c r="K32" s="16" t="n">
        <x:v>5</x:v>
      </x:c>
      <x:c r="L32" s="16" t="n">
        <x:v>330</x:v>
      </x:c>
      <x:c r="M32" s="16" t="n">
        <x:v>10</x:v>
      </x:c>
      <x:c r="N32" s="10" t="str">
        <x:v>生命1星、决心1星、远防1星</x:v>
      </x:c>
      <x:c r="O32" s="10" t="str">
        <x:v>weapons/bludgeon、shields/wooden_shield、armor/thick_tunic</x:v>
      </x:c>
    </x:row>
    <x:row r="33" ht="70" customHeight="1">
      <x:c r="A33" s="3" t="str">
        <x:v>苏袜</x:v>
      </x:c>
      <x:c r="B33" s="3" t="str">
        <x:v>suwa</x:v>
      </x:c>
      <x:c r="C33" s="3" t="str">
        <x:v>高先攻与耐力倾向</x:v>
      </x:c>
      <x:c r="D33" s="17" t="n">
        <x:v>49</x:v>
      </x:c>
      <x:c r="E33" s="17" t="n">
        <x:v>101</x:v>
      </x:c>
      <x:c r="F33" s="17" t="n">
        <x:v>38</x:v>
      </x:c>
      <x:c r="G33" s="17" t="n">
        <x:v>121</x:v>
      </x:c>
      <x:c r="H33" s="17" t="n">
        <x:v>49</x:v>
      </x:c>
      <x:c r="I33" s="17" t="n">
        <x:v>46</x:v>
      </x:c>
      <x:c r="J33" s="17" t="n">
        <x:v>4</x:v>
      </x:c>
      <x:c r="K33" s="17" t="n">
        <x:v>6</x:v>
      </x:c>
      <x:c r="L33" s="17" t="n">
        <x:v>370</x:v>
      </x:c>
      <x:c r="M33" s="17" t="n">
        <x:v>11</x:v>
      </x:c>
      <x:c r="N33" s="3" t="str">
        <x:v>疲劳上限1星、先攻3星</x:v>
      </x:c>
      <x:c r="O33" s="3" t="str">
        <x:v>weapons/javelin、shields/buckler_shield、armor/thick_tunic</x:v>
      </x:c>
    </x:row>
    <x:row r="34" ht="70" customHeight="1">
      <x:c r="A34" s="10" t="str">
        <x:v>千涵</x:v>
      </x:c>
      <x:c r="B34" s="10" t="str">
        <x:v>qianhan</x:v>
      </x:c>
      <x:c r="C34" s="10" t="str">
        <x:v>近攻与近防偏好的长矛与盾牌配置</x:v>
      </x:c>
      <x:c r="D34" s="16" t="n">
        <x:v>53</x:v>
      </x:c>
      <x:c r="E34" s="16" t="n">
        <x:v>99</x:v>
      </x:c>
      <x:c r="F34" s="16" t="n">
        <x:v>41</x:v>
      </x:c>
      <x:c r="G34" s="16" t="n">
        <x:v>103</x:v>
      </x:c>
      <x:c r="H34" s="16" t="n">
        <x:v>53</x:v>
      </x:c>
      <x:c r="I34" s="16" t="n">
        <x:v>36</x:v>
      </x:c>
      <x:c r="J34" s="16" t="n">
        <x:v>5</x:v>
      </x:c>
      <x:c r="K34" s="16" t="n">
        <x:v>3</x:v>
      </x:c>
      <x:c r="L34" s="16" t="n">
        <x:v>350</x:v>
      </x:c>
      <x:c r="M34" s="16" t="n">
        <x:v>11</x:v>
      </x:c>
      <x:c r="N34" s="10" t="str">
        <x:v>近攻2星、近防1星</x:v>
      </x:c>
      <x:c r="O34" s="10" t="str">
        <x:v>weapons/militia_spear、shields/wooden_shield、armor/thick_tunic</x:v>
      </x:c>
    </x:row>
    <x:row r="35" ht="70" customHeight="1">
      <x:c r="A35" s="3" t="str">
        <x:v>王大芷</x:v>
      </x:c>
      <x:c r="B35" s="3" t="str">
        <x:v>wangdazhi</x:v>
      </x:c>
      <x:c r="C35" s="3" t="str">
        <x:v>近防、耐力和决心偏好的持盾起步</x:v>
      </x:c>
      <x:c r="D35" s="17" t="n">
        <x:v>56</x:v>
      </x:c>
      <x:c r="E35" s="17" t="n">
        <x:v>102</x:v>
      </x:c>
      <x:c r="F35" s="17" t="n">
        <x:v>46</x:v>
      </x:c>
      <x:c r="G35" s="17" t="n">
        <x:v>95</x:v>
      </x:c>
      <x:c r="H35" s="17" t="n">
        <x:v>52</x:v>
      </x:c>
      <x:c r="I35" s="17" t="n">
        <x:v>33</x:v>
      </x:c>
      <x:c r="J35" s="17" t="n">
        <x:v>7</x:v>
      </x:c>
      <x:c r="K35" s="17" t="n">
        <x:v>4</x:v>
      </x:c>
      <x:c r="L35" s="17" t="n">
        <x:v>400</x:v>
      </x:c>
      <x:c r="M35" s="17" t="n">
        <x:v>12</x:v>
      </x:c>
      <x:c r="N35" s="3" t="str">
        <x:v>疲劳上限1星、决心1星、近防2星</x:v>
      </x:c>
      <x:c r="O35" s="3" t="str">
        <x:v>weapons/wooden_flail、shields/wooden_shield、armor/padded_surcoat</x:v>
      </x:c>
    </x:row>
    <x:row r="36" ht="70" customHeight="1">
      <x:c r="A36" s="10" t="str">
        <x:v>瑶瑶牙</x:v>
      </x:c>
      <x:c r="B36" s="10" t="str">
        <x:v>yaoyaoya</x:v>
      </x:c>
      <x:c r="C36" s="10" t="str">
        <x:v>近攻与疲劳二星、近防一星；双手斧起步</x:v>
      </x:c>
      <x:c r="D36" s="16" t="n">
        <x:v>58</x:v>
      </x:c>
      <x:c r="E36" s="16" t="n">
        <x:v>104</x:v>
      </x:c>
      <x:c r="F36" s="16" t="n">
        <x:v>40</x:v>
      </x:c>
      <x:c r="G36" s="16" t="n">
        <x:v>84</x:v>
      </x:c>
      <x:c r="H36" s="16" t="n">
        <x:v>55</x:v>
      </x:c>
      <x:c r="I36" s="16" t="n">
        <x:v>29</x:v>
      </x:c>
      <x:c r="J36" s="16" t="n">
        <x:v>3</x:v>
      </x:c>
      <x:c r="K36" s="16" t="n">
        <x:v>0</x:v>
      </x:c>
      <x:c r="L36" s="16" t="n">
        <x:v>450</x:v>
      </x:c>
      <x:c r="M36" s="16" t="n">
        <x:v>13</x:v>
      </x:c>
      <x:c r="N36" s="10" t="str">
        <x:v>疲劳上限2星、近攻2星、近防1星</x:v>
      </x:c>
      <x:c r="O36" s="10" t="str">
        <x:v>weapons/woodcutters_axe、armor/padded_surcoat、helmets/aketon_cap</x:v>
      </x:c>
    </x:row>
    <x:row r="37" ht="70" customHeight="1">
      <x:c r="A37" s="3" t="str">
        <x:v>羊咩咩</x:v>
      </x:c>
      <x:c r="B37" s="3" t="str">
        <x:v>yangmiemie</x:v>
      </x:c>
      <x:c r="C37" s="3" t="str">
        <x:v>生命与决心偏好的稳健配置</x:v>
      </x:c>
      <x:c r="D37" s="17" t="n">
        <x:v>59</x:v>
      </x:c>
      <x:c r="E37" s="17" t="n">
        <x:v>100</x:v>
      </x:c>
      <x:c r="F37" s="17" t="n">
        <x:v>44</x:v>
      </x:c>
      <x:c r="G37" s="17" t="n">
        <x:v>97</x:v>
      </x:c>
      <x:c r="H37" s="17" t="n">
        <x:v>50</x:v>
      </x:c>
      <x:c r="I37" s="17" t="n">
        <x:v>38</x:v>
      </x:c>
      <x:c r="J37" s="17" t="n">
        <x:v>5</x:v>
      </x:c>
      <x:c r="K37" s="17" t="n">
        <x:v>4</x:v>
      </x:c>
      <x:c r="L37" s="17" t="n">
        <x:v>340</x:v>
      </x:c>
      <x:c r="M37" s="17" t="n">
        <x:v>10</x:v>
      </x:c>
      <x:c r="N37" s="3" t="str">
        <x:v>生命2星、决心1星</x:v>
      </x:c>
      <x:c r="O37" s="3" t="str">
        <x:v>weapons/militia_spear、shields/buckler_shield、armor/padded_surcoat</x:v>
      </x:c>
    </x:row>
    <x:row r="38" ht="70" customHeight="1">
      <x:c r="A38" s="10" t="str">
        <x:v>宋暖阳</x:v>
      </x:c>
      <x:c r="B38" s="10" t="str">
        <x:v>songnuanyang</x:v>
      </x:c>
      <x:c r="C38" s="10" t="str">
        <x:v>生命、近攻与决心均衡</x:v>
      </x:c>
      <x:c r="D38" s="16" t="n">
        <x:v>60</x:v>
      </x:c>
      <x:c r="E38" s="16" t="n">
        <x:v>104</x:v>
      </x:c>
      <x:c r="F38" s="16" t="n">
        <x:v>50</x:v>
      </x:c>
      <x:c r="G38" s="16" t="n">
        <x:v>108</x:v>
      </x:c>
      <x:c r="H38" s="16" t="n">
        <x:v>58</x:v>
      </x:c>
      <x:c r="I38" s="16" t="n">
        <x:v>39</x:v>
      </x:c>
      <x:c r="J38" s="16" t="n">
        <x:v>6</x:v>
      </x:c>
      <x:c r="K38" s="16" t="n">
        <x:v>5</x:v>
      </x:c>
      <x:c r="L38" s="16" t="n">
        <x:v>320</x:v>
      </x:c>
      <x:c r="M38" s="16" t="n">
        <x:v>10</x:v>
      </x:c>
      <x:c r="N38" s="10" t="str">
        <x:v>生命1星、决心1星、近攻1星</x:v>
      </x:c>
      <x:c r="O38" s="10" t="str">
        <x:v>weapons/militia_spear、shields/buckler_shield、armor/thick_tunic</x:v>
      </x:c>
    </x:row>
    <x:row r="39" ht="70" customHeight="1">
      <x:c r="A39" s="3" t="str">
        <x:v>溺水小龟</x:v>
      </x:c>
      <x:c r="B39" s="3" t="str">
        <x:v>xiaogui</x:v>
      </x:c>
      <x:c r="C39" s="3" t="str">
        <x:v>前排盾卫，近防与决心成长；保留投掷副手</x:v>
      </x:c>
      <x:c r="D39" s="17" t="n">
        <x:v>53</x:v>
      </x:c>
      <x:c r="E39" s="17" t="n">
        <x:v>102</x:v>
      </x:c>
      <x:c r="F39" s="17" t="n">
        <x:v>43</x:v>
      </x:c>
      <x:c r="G39" s="17" t="n">
        <x:v>100</x:v>
      </x:c>
      <x:c r="H39" s="17" t="n">
        <x:v>48</x:v>
      </x:c>
      <x:c r="I39" s="17" t="n">
        <x:v>44</x:v>
      </x:c>
      <x:c r="J39" s="17" t="n">
        <x:v>5</x:v>
      </x:c>
      <x:c r="K39" s="17" t="n">
        <x:v>8</x:v>
      </x:c>
      <x:c r="L39" s="17" t="n">
        <x:v>350</x:v>
      </x:c>
      <x:c r="M39" s="17" t="n">
        <x:v>11</x:v>
      </x:c>
      <x:c r="N39" s="3" t="str">
        <x:v>疲劳上限1星、决心2星、近防3星</x:v>
      </x:c>
      <x:c r="O39" s="3" t="str">
        <x:v>weapons/boar_spear、shields/wooden_shield、armor/thick_tunic</x:v>
      </x:c>
    </x:row>
  </x:sheetData>
  <x:pageMargins left="0.7" right="0.7" top="0.75" bottom="0.75" header="0.3" footer="0.3"/>
  <x:tableParts count="1">
    <x:tablePart xmlns:r="http://schemas.openxmlformats.org/officeDocument/2006/relationships" r:id="R0e4dbef6e66b4883"/>
  </x:tableParts>
</x:worksheet>
</file>

<file path=xl/worksheets/sheet11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46" hidden="0" customWidth="1"/>
    <x:col min="3" max="3" width="78" hidden="0" customWidth="1"/>
    <x:col min="4" max="4" width="100" hidden="0" customWidth="1"/>
  </x:cols>
  <x:sheetData>
    <x:row r="1" ht="36" customHeight="1">
      <x:c r="A1" s="5" t="str">
        <x:v>参数来源与使用边界</x:v>
      </x:c>
      <x:c r="B1" s="3"/>
      <x:c r="C1" s="3"/>
      <x:c r="D1" s="3"/>
    </x:row>
    <x:row r="2" ht="25" customHeight="1">
      <x:c r="A2" s="3"/>
      <x:c r="B2" s="3"/>
      <x:c r="C2" s="3"/>
      <x:c r="D2" s="3"/>
    </x:row>
    <x:row r="3" ht="25" customHeight="1">
      <x:c r="A3" s="7" t="str">
        <x:v>本工作簿仅用于设计、比较和离线核验。完整研究范围、计算假设与实测缺口都有独立文档。</x:v>
      </x:c>
      <x:c r="B3" s="3"/>
      <x:c r="C3" s="3"/>
      <x:c r="D3" s="3"/>
    </x:row>
    <x:row r="4" ht="25" customHeight="1">
      <x:c r="A4" s="3"/>
      <x:c r="B4" s="3"/>
      <x:c r="C4" s="3"/>
      <x:c r="D4" s="3"/>
    </x:row>
    <x:row r="5" ht="36" customHeight="1">
      <x:c r="A5" s="9" t="str">
        <x:v>来源/参数</x:v>
      </x:c>
      <x:c r="B5" s="9" t="str">
        <x:v>值或范围</x:v>
      </x:c>
      <x:c r="C5" s="9" t="str">
        <x:v>解释</x:v>
      </x:c>
      <x:c r="D5" s="9" t="str">
        <x:v>链接/路径</x:v>
      </x:c>
    </x:row>
    <x:row r="6" ht="58" customHeight="1">
      <x:c r="A6" s="10" t="str">
        <x:v>装备定价系数</x:v>
      </x:c>
      <x:c r="B6" s="37" t="n">
        <x:v>0.6</x:v>
      </x:c>
      <x:c r="C6" s="10" t="str">
        <x:v>提案：全新装备基础值×0.60</x:v>
      </x:c>
      <x:c r="D6" s="10" t="str">
        <x:v>tools/balance_v1_design.py</x:v>
      </x:c>
    </x:row>
    <x:row r="7" ht="58" customHeight="1">
      <x:c r="A7" s="3" t="str">
        <x:v>补级定价系数</x:v>
      </x:c>
      <x:c r="B7" s="37" t="n">
        <x:v>120</x:v>
      </x:c>
      <x:c r="C7" s="3" t="str">
        <x:v>提案：120×(实际等级-1)^1.5</x:v>
      </x:c>
      <x:c r="D7" s="3" t="str">
        <x:v>tools/balance_v1_design.py</x:v>
      </x:c>
    </x:row>
    <x:row r="8" ht="58" customHeight="1">
      <x:c r="A8" s="10" t="str">
        <x:v>2～11级工资倍率</x:v>
      </x:c>
      <x:c r="B8" s="37" t="n">
        <x:v>1.1</x:v>
      </x:c>
      <x:c r="C8" s="10" t="str">
        <x:v>本机原版，不含起源/特性经济倍率</x:v>
      </x:c>
      <x:c r="D8" s="10" t="str">
        <x:v>native-manifest.json / character_background.nut</x:v>
      </x:c>
    </x:row>
    <x:row r="9" ht="58" customHeight="1">
      <x:c r="A9" s="3" t="str">
        <x:v>12级起工资倍率</x:v>
      </x:c>
      <x:c r="B9" s="37" t="n">
        <x:v>1.03</x:v>
      </x:c>
      <x:c r="C9" s="3" t="str">
        <x:v>本机原版，逐级复利</x:v>
      </x:c>
      <x:c r="D9" s="3" t="str">
        <x:v>native-manifest.json / character_background.nut</x:v>
      </x:c>
    </x:row>
    <x:row r="10" ht="58" customHeight="1">
      <x:c r="A10" s="10" t="str">
        <x:v>肖勤《游戏数值设计》</x:v>
      </x:c>
      <x:c r="B10" s="10" t="str">
        <x:v>书目与内容范围</x:v>
      </x:c>
      <x:c r="C10" s="10" t="str">
        <x:v>未取得完整正文，不声称通读</x:v>
      </x:c>
      <x:c r="D10" s="10" t="str">
        <x:v>https://lib.lynu.edu.cn/mspace/searchDetailLocal/m4c41b0253d8dca35061b1518c33bcff6</x:v>
      </x:c>
    </x:row>
    <x:row r="11" ht="58" customHeight="1">
      <x:c r="A11" s="3" t="str">
        <x:v>袁兆阳《游戏数值百宝书》</x:v>
      </x:c>
      <x:c r="B11" s="3" t="str">
        <x:v>目录、简介、前言入口</x:v>
      </x:c>
      <x:c r="C11" s="3" t="str">
        <x:v>未取得完整正文</x:v>
      </x:c>
      <x:c r="D11" s="3" t="str">
        <x:v>https://wap.phei.com.cn/module/goods/wssd_content.jsp?bookid=58845</x:v>
      </x:c>
    </x:row>
    <x:row r="12" ht="58" customHeight="1">
      <x:c r="A12" s="10" t="str">
        <x:v>Game Mechanics</x:v>
      </x:c>
      <x:c r="B12" s="10" t="str">
        <x:v>出版社目录与公开48页样章</x:v>
      </x:c>
      <x:c r="C12" s="10" t="str">
        <x:v>样章含前言目录索引，非48页完整教学正文</x:v>
      </x:c>
      <x:c r="D12" s="10" t="str">
        <x:v>https://www.informit.com/store/game-mechanics-advanced-game-design-9780132946728</x:v>
      </x:c>
    </x:row>
    <x:row r="13" ht="58" customHeight="1">
      <x:c r="A13" s="3" t="str">
        <x:v>公开样章</x:v>
      </x:c>
      <x:c r="B13" s="3" t="str">
        <x:v>Pearson PDF</x:v>
      </x:c>
      <x:c r="C13" s="3" t="str">
        <x:v>未取得整本书</x:v>
      </x:c>
      <x:c r="D13" s="3" t="str">
        <x:v>https://ptgmedia.pearsoncmg.com/images/9780321820273/samplepages/0321820274.pdf</x:v>
      </x:c>
    </x:row>
    <x:row r="14" ht="58" customHeight="1">
      <x:c r="A14" s="10" t="str">
        <x:v>Game Balance</x:v>
      </x:c>
      <x:c r="B14" s="10" t="str">
        <x:v>出版社可索引介绍</x:v>
      </x:c>
      <x:c r="C14" s="10" t="str">
        <x:v>原页面403；未取得完整正文</x:v>
      </x:c>
      <x:c r="D14" s="10" t="str">
        <x:v>https://www.routledge.com/link/link/p/book/9781032034003</x:v>
      </x:c>
    </x:row>
    <x:row r="15" ht="58" customHeight="1">
      <x:c r="A15" s="3" t="str">
        <x:v>Ian Schreiber公开课程</x:v>
      </x:c>
      <x:c r="B15" s="3" t="str">
        <x:v>成本曲线</x:v>
      </x:c>
      <x:c r="C15" s="3" t="str">
        <x:v>课程不等于该书全文</x:v>
      </x:c>
      <x:c r="D15" s="3" t="str">
        <x:v>https://gamebalanceconcepts.wordpress.com/2010/07/21/level-3-transitive-mechanics-and-cost-curves/</x:v>
      </x:c>
    </x:row>
    <x:row r="16" ht="58" customHeight="1">
      <x:c r="A16" s="10" t="str">
        <x:v>Dormans开放论文</x:v>
      </x:c>
      <x:c r="B16" s="10" t="str">
        <x:v>机制模拟与涌现</x:v>
      </x:c>
      <x:c r="C16" s="10" t="str">
        <x:v>模拟不证明游戏整体平衡</x:v>
      </x:c>
      <x:c r="D16" s="10" t="str">
        <x:v>https://ojs.aaai.org/index.php/AIIDE/article/download/12477/12336/16005</x:v>
      </x:c>
    </x:row>
    <x:row r="17" ht="58" customHeight="1">
      <x:c r="A17" s="3" t="str">
        <x:v>原版游戏</x:v>
      </x:c>
      <x:c r="B17" s="3" t="str">
        <x:v>本机92份资源脚本</x:v>
      </x:c>
      <x:c r="C17" s="3" t="str">
        <x:v>定量以本机实际脚本为准；哈希可追查</x:v>
      </x:c>
      <x:c r="D17" s="3" t="str">
        <x:v>native-manifest.json</x:v>
      </x:c>
    </x:row>
    <x:row r="18" ht="58" customHeight="1">
      <x:c r="A18" s="10" t="str">
        <x:v>Mod当前</x:v>
      </x:c>
      <x:c r="B18" s="10" t="str">
        <x:v>34角色、96当前技能定义</x:v>
      </x:c>
      <x:c r="C18" s="10" t="str">
        <x:v>当前有眼子哥技能缺口；提案补至99</x:v>
      </x:c>
      <x:c r="D18" s="10" t="str">
        <x:v>current-roster.json / source-manifest.json</x:v>
      </x:c>
    </x:row>
    <x:row r="19" ht="58" customHeight="1">
      <x:c r="A19" s="3" t="str">
        <x:v>设计输入</x:v>
      </x:c>
      <x:c r="B19" s="3" t="str">
        <x:v>34人、99选项、3路线、电子烟</x:v>
      </x:c>
      <x:c r="C19" s="3" t="str">
        <x:v>原创设计提案，未实装</x:v>
      </x:c>
      <x:c r="D19" s="3" t="str">
        <x:v>proposal.json</x:v>
      </x:c>
    </x:row>
    <x:row r="20" ht="58" customHeight="1">
      <x:c r="A20" s="10" t="str">
        <x:v>离线验证</x:v>
      </x:c>
      <x:c r="B20" s="10" t="str">
        <x:v>15项结构/来源检查、256伤害边界、48000练习靶</x:v>
      </x:c>
      <x:c r="C20" s="10" t="str">
        <x:v>不等于实际胜率、AI与所有技能代码已测</x:v>
      </x:c>
      <x:c r="D20" s="10" t="str">
        <x:v>validation.json / 验证结果.md</x:v>
      </x:c>
    </x:row>
    <x:row r="21" ht="58" customHeight="1">
      <x:c r="A21" s="3" t="str">
        <x:v>版本</x:v>
      </x:c>
      <x:c r="B21" s="3" t="str">
        <x:v>2026-09-29 / 提案V1</x:v>
      </x:c>
      <x:c r="C21" s="3" t="str">
        <x:v>编辑工作簿不自动同步JSON或Mod</x:v>
      </x:c>
      <x:c r="D21" s="3" t="str">
        <x:v>总方案.md</x:v>
      </x:c>
    </x:row>
    <x:row r="22" ht="58" customHeight="1">
      <x:c r="A22" s="10" t="str">
        <x:v>输入校验</x:v>
      </x:c>
      <x:c r="B22" s="10" t="str">
        <x:v>0～3星；0～10升级次数；每人合计30</x:v>
      </x:c>
      <x:c r="C22" s="10" t="str">
        <x:v>改分支需同角色8行一致；先看成长总览红色警示</x:v>
      </x:c>
      <x:c r="D22" s="10" t="str">
        <x:v>属性成长 / 成长总览</x:v>
      </x:c>
    </x:row>
    <x:row r="23" ht="58" customHeight="1">
      <x:c r="A23" s="3" t="str">
        <x:v>统计口径</x:v>
      </x:c>
      <x:c r="B23" s="3" t="str">
        <x:v>均值不是整数实例</x:v>
      </x:c>
      <x:c r="C23" s="3" t="str">
        <x:v>P10/P90见角色手册，为固定分配精确卷积</x:v>
      </x:c>
      <x:c r="D23" s="3" t="str">
        <x:v>角色手册.md</x:v>
      </x:c>
    </x:row>
    <x:row r="24" ht="58" customHeight="1">
      <x:c r="A24" s="10" t="str">
        <x:v>队长例外</x:v>
      </x:c>
      <x:c r="B24" s="10" t="str">
        <x:v>阿飞路线/自行车，小龟体质额外加算</x:v>
      </x:c>
      <x:c r="C24" s="10" t="str">
        <x:v>这些未混入裸属性成长均值</x:v>
      </x:c>
      <x:c r="D24" s="10" t="str">
        <x:v>队长与事件 / 角色手册.md</x:v>
      </x:c>
    </x:row>
    <x:row r="25" ht="58" customHeight="1">
      <x:c r="A25" s="3" t="str">
        <x:v>输入颜色</x:v>
      </x:c>
      <x:c r="B25" s="3" t="str">
        <x:v>黄色=输入；绿色=计算；其他=来源/文字</x:v>
      </x:c>
      <x:c r="C25" s="3" t="str">
        <x:v>效果说明不会因修改费用数字自动改写</x:v>
      </x:c>
      <x:c r="D25" s="3" t="str">
        <x:v>技能总表.md</x:v>
      </x:c>
    </x:row>
  </x:sheetData>
  <x:pageMargins left="0.7" right="0.7" top="0.75" bottom="0.75" header="0.3" footer="0.3"/>
  <x:tableParts count="1">
    <x:tablePart xmlns:r="http://schemas.openxmlformats.org/officeDocument/2006/relationships" r:id="Ra2485e0d35884e9a"/>
  </x:tableParts>
</x:worksheet>
</file>